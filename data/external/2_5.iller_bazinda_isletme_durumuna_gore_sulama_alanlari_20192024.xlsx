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FE613C29-CB3C-4480-B4ED-D43E1B9328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5.Tablo" sheetId="1" r:id="rId1"/>
  </sheets>
  <definedNames>
    <definedName name="_xlnm.Print_Area" localSheetId="0">'2.5.Tablo'!$A$1:$BW$165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7" i="1" l="1"/>
  <c r="AL7" i="1"/>
  <c r="AK7" i="1"/>
  <c r="AJ7" i="1"/>
  <c r="AI7" i="1"/>
  <c r="AH7" i="1"/>
  <c r="AO27" i="1"/>
  <c r="AO28" i="1"/>
  <c r="AO29" i="1"/>
  <c r="AO47" i="1"/>
  <c r="AO48" i="1"/>
  <c r="AO49" i="1"/>
  <c r="AO67" i="1"/>
  <c r="AO68" i="1"/>
  <c r="AO87" i="1"/>
  <c r="AO8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" i="1"/>
</calcChain>
</file>

<file path=xl/sharedStrings.xml><?xml version="1.0" encoding="utf-8"?>
<sst xmlns="http://schemas.openxmlformats.org/spreadsheetml/2006/main" count="214" uniqueCount="179">
  <si>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</si>
  <si>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</si>
  <si>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</si>
  <si>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</si>
  <si>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</si>
  <si>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</si>
  <si>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</si>
  <si>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</si>
  <si>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</si>
  <si>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</si>
  <si>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</si>
  <si>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</si>
  <si>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</si>
  <si>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</si>
  <si>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</si>
  <si>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</si>
  <si>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</si>
  <si>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</si>
  <si>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</si>
  <si>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</si>
  <si>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</si>
  <si>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</si>
  <si>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</si>
  <si>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</si>
  <si>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</si>
  <si>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</si>
  <si>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</si>
  <si>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</si>
  <si>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</si>
  <si>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</si>
  <si>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</si>
  <si>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</si>
  <si>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</si>
  <si>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</si>
  <si>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</si>
  <si>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</si>
  <si>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</si>
  <si>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</si>
  <si>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</si>
  <si>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</si>
  <si>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</si>
  <si>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</si>
  <si>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</si>
  <si>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</si>
  <si>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</si>
  <si>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</si>
  <si>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</si>
  <si>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</si>
  <si>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</si>
  <si>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</si>
  <si>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</si>
  <si>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</si>
  <si>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</si>
  <si>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</si>
  <si>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</si>
  <si>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</si>
  <si>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</si>
  <si>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</si>
  <si>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</si>
  <si>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</si>
  <si>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</si>
  <si>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</si>
  <si>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</si>
  <si>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</si>
  <si>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</si>
  <si>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</si>
  <si>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</si>
  <si>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</si>
  <si>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</si>
  <si>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</si>
  <si>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</si>
  <si>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</si>
  <si>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</si>
  <si>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</si>
  <si>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</si>
  <si>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</si>
  <si>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</si>
  <si>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</si>
  <si>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</si>
  <si>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</si>
  <si>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</si>
  <si>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</si>
  <si>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</si>
  <si>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</si>
  <si>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</si>
  <si>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</si>
  <si>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</si>
  <si>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</si>
  <si>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</si>
  <si>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</si>
  <si>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</si>
  <si>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</si>
  <si>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</si>
  <si>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</si>
  <si>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</si>
  <si>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</si>
  <si>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</si>
  <si>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</si>
  <si>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</si>
  <si>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</si>
  <si>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</si>
  <si>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</si>
  <si>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</si>
  <si>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</si>
  <si>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</si>
  <si>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</si>
  <si>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</si>
  <si>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</si>
  <si>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</si>
  <si>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</si>
  <si>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</si>
  <si>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</si>
  <si>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</si>
  <si>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</si>
  <si>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</si>
  <si>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</si>
  <si>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</si>
  <si>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</si>
  <si>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</si>
  <si>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</si>
  <si>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</si>
  <si>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</si>
  <si>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</si>
  <si>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</si>
  <si>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</si>
  <si>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</si>
  <si>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</si>
  <si>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</si>
  <si>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</si>
  <si>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</si>
  <si>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</si>
  <si>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</si>
  <si>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</si>
  <si>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</si>
  <si>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</si>
  <si>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</si>
  <si>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</si>
  <si>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</si>
  <si>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</si>
  <si>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</si>
  <si>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</si>
  <si>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</si>
  <si>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</si>
  <si>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</si>
  <si>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</si>
  <si>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</si>
  <si>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</si>
  <si>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</si>
  <si>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</si>
  <si>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</si>
  <si>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</si>
  <si>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</si>
  <si>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</si>
  <si>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</si>
  <si>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</si>
  <si>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</si>
  <si>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</si>
  <si>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</si>
  <si>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</si>
  <si>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</si>
  <si>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</si>
  <si>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</si>
  <si>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</si>
  <si>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</si>
  <si>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</si>
  <si>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DSİ Tarafından İşletilen Sulamalar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</si>
  <si>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</si>
  <si>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(ha)</t>
  </si>
  <si>
    <t xml:space="preserve">Tarife Uygulanan </t>
  </si>
  <si>
    <t xml:space="preserve">Tarife Uygulanmayan </t>
  </si>
  <si>
    <t xml:space="preserve">DSİ Tarafından Çeşitli Kuruluşlara Devredilen Sulama Alanları </t>
  </si>
  <si>
    <t xml:space="preserve">Bedeli Karşılığında inşa edilen Sulamalar </t>
  </si>
  <si>
    <t xml:space="preserve">Sulama Kooperatiflerince İşletilen Sulama Alanları </t>
  </si>
  <si>
    <t xml:space="preserve">Sulama Alanı </t>
  </si>
  <si>
    <t>İBBS(1) - 3. Düzey</t>
  </si>
  <si>
    <t>İller</t>
  </si>
  <si>
    <t>3.6 ile tutarlı değil</t>
  </si>
  <si>
    <t>Not: Köy Hizmetleri Genel Müdürlüğü tarafından yapılan sulamalar ile Halk Sulamaları dahil edilmemiştir.</t>
  </si>
  <si>
    <t>2.5.İller Bazında İşletme Durumuna Göre Sulama Alanları,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</si>
</sst>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12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1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1"/>
      <name val="Calibri"/>
      <family val="2"/>
      <scheme val="minor"/>
    </font>
    <font>
      <sz val="12"/>
      <color theme="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vertical="center"/>
    </xf>
    <xf numFmtId="0" fontId="4" fillId="2" borderId="0" xfId="0" applyFont="1" applyFill="1" applyBorder="1"/>
    <xf numFmtId="0" fontId="5" fillId="2" borderId="13" xfId="3" applyFont="1" applyFill="1" applyBorder="1" applyAlignment="1">
      <alignment vertical="center" shrinkToFit="1"/>
    </xf>
    <xf numFmtId="0" fontId="5" fillId="2" borderId="26" xfId="3" applyFont="1" applyFill="1" applyBorder="1" applyAlignment="1">
      <alignment vertical="center" shrinkToFit="1"/>
    </xf>
    <xf numFmtId="3" fontId="5" fillId="2" borderId="20" xfId="0" applyNumberFormat="1" applyFont="1" applyFill="1" applyBorder="1"/>
    <xf numFmtId="3" fontId="5" fillId="2" borderId="21" xfId="0" applyNumberFormat="1" applyFont="1" applyFill="1" applyBorder="1"/>
    <xf numFmtId="0" fontId="3" fillId="0" borderId="0" xfId="0" applyFont="1" applyFill="1" applyBorder="1"/>
    <xf numFmtId="0" fontId="5" fillId="0" borderId="18" xfId="3" applyFont="1" applyFill="1" applyBorder="1" applyAlignment="1">
      <alignment vertical="center" shrinkToFit="1"/>
    </xf>
    <xf numFmtId="0" fontId="4" fillId="0" borderId="19" xfId="3" applyFont="1" applyFill="1" applyBorder="1" applyAlignment="1">
      <alignment vertical="center" shrinkToFit="1"/>
    </xf>
    <xf numFmtId="0" fontId="0" fillId="0" borderId="0" xfId="0" applyFill="1" applyBorder="1"/>
    <xf numFmtId="0" fontId="5" fillId="0" borderId="9" xfId="3" applyFont="1" applyFill="1" applyBorder="1" applyAlignment="1">
      <alignment vertical="center" shrinkToFit="1"/>
    </xf>
    <xf numFmtId="0" fontId="4" fillId="0" borderId="3" xfId="3" applyFont="1" applyFill="1" applyBorder="1" applyAlignment="1">
      <alignment vertical="center" shrinkToFit="1"/>
    </xf>
    <xf numFmtId="0" fontId="5" fillId="0" borderId="10" xfId="3" applyFont="1" applyFill="1" applyBorder="1" applyAlignment="1">
      <alignment vertical="center" shrinkToFit="1"/>
    </xf>
    <xf numFmtId="0" fontId="4" fillId="0" borderId="15" xfId="3" applyFont="1" applyFill="1" applyBorder="1" applyAlignment="1">
      <alignment vertical="center" shrinkToFit="1"/>
    </xf>
    <xf numFmtId="0" fontId="5" fillId="2" borderId="0" xfId="1" applyFont="1" applyFill="1" applyBorder="1" applyAlignment="1">
      <alignment horizontal="left" vertical="center" wrapText="1"/>
    </xf>
    <xf numFmtId="3" fontId="4" fillId="2" borderId="2" xfId="0" applyNumberFormat="1" applyFont="1" applyFill="1" applyBorder="1"/>
    <xf numFmtId="3" fontId="4" fillId="2" borderId="1" xfId="0" applyNumberFormat="1" applyFont="1" applyFill="1" applyBorder="1"/>
    <xf numFmtId="3" fontId="4" fillId="2" borderId="3" xfId="0" applyNumberFormat="1" applyFont="1" applyFill="1" applyBorder="1"/>
    <xf numFmtId="3" fontId="4" fillId="2" borderId="11" xfId="0" applyNumberFormat="1" applyFont="1" applyFill="1" applyBorder="1"/>
    <xf numFmtId="3" fontId="4" fillId="2" borderId="8" xfId="0" applyNumberFormat="1" applyFont="1" applyFill="1" applyBorder="1"/>
    <xf numFmtId="3" fontId="4" fillId="2" borderId="7" xfId="0" applyNumberFormat="1" applyFont="1" applyFill="1" applyBorder="1"/>
    <xf numFmtId="3" fontId="4" fillId="2" borderId="14" xfId="0" applyNumberFormat="1" applyFont="1" applyFill="1" applyBorder="1"/>
    <xf numFmtId="3" fontId="4" fillId="2" borderId="9" xfId="0" applyNumberFormat="1" applyFont="1" applyFill="1" applyBorder="1"/>
    <xf numFmtId="3" fontId="4" fillId="2" borderId="18" xfId="0" applyNumberFormat="1" applyFont="1" applyFill="1" applyBorder="1"/>
    <xf numFmtId="3" fontId="4" fillId="2" borderId="10" xfId="0" applyNumberFormat="1" applyFont="1" applyFill="1" applyBorder="1"/>
    <xf numFmtId="3" fontId="4" fillId="2" borderId="15" xfId="0" applyNumberFormat="1" applyFont="1" applyFill="1" applyBorder="1"/>
    <xf numFmtId="164" fontId="5" fillId="2" borderId="4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20" xfId="0" applyNumberFormat="1" applyFont="1" applyFill="1" applyBorder="1"/>
    <xf numFmtId="3" fontId="8" fillId="2" borderId="21" xfId="0" applyNumberFormat="1" applyFont="1" applyFill="1" applyBorder="1"/>
    <xf numFmtId="3" fontId="9" fillId="2" borderId="7" xfId="0" applyNumberFormat="1" applyFont="1" applyFill="1" applyBorder="1"/>
    <xf numFmtId="3" fontId="9" fillId="2" borderId="8" xfId="0" applyNumberFormat="1" applyFont="1" applyFill="1" applyBorder="1"/>
    <xf numFmtId="3" fontId="9" fillId="2" borderId="14" xfId="0" applyNumberFormat="1" applyFont="1" applyFill="1" applyBorder="1"/>
    <xf numFmtId="3" fontId="9" fillId="2" borderId="9" xfId="0" applyNumberFormat="1" applyFont="1" applyFill="1" applyBorder="1"/>
    <xf numFmtId="3" fontId="9" fillId="2" borderId="1" xfId="0" applyNumberFormat="1" applyFont="1" applyFill="1" applyBorder="1"/>
    <xf numFmtId="3" fontId="9" fillId="2" borderId="3" xfId="0" applyNumberFormat="1" applyFont="1" applyFill="1" applyBorder="1"/>
    <xf numFmtId="3" fontId="9" fillId="2" borderId="18" xfId="0" applyNumberFormat="1" applyFont="1" applyFill="1" applyBorder="1"/>
    <xf numFmtId="3" fontId="9" fillId="2" borderId="2" xfId="0" applyNumberFormat="1" applyFont="1" applyFill="1" applyBorder="1"/>
    <xf numFmtId="3" fontId="9" fillId="2" borderId="10" xfId="0" applyNumberFormat="1" applyFont="1" applyFill="1" applyBorder="1"/>
    <xf numFmtId="3" fontId="9" fillId="2" borderId="11" xfId="0" applyNumberFormat="1" applyFont="1" applyFill="1" applyBorder="1"/>
    <xf numFmtId="3" fontId="9" fillId="2" borderId="15" xfId="0" applyNumberFormat="1" applyFont="1" applyFill="1" applyBorder="1"/>
    <xf numFmtId="0" fontId="7" fillId="2" borderId="0" xfId="0" applyFont="1" applyFill="1" applyBorder="1"/>
    <xf numFmtId="0" fontId="10" fillId="0" borderId="0" xfId="0" applyFont="1" applyBorder="1"/>
    <xf numFmtId="164" fontId="5" fillId="2" borderId="6" xfId="0" applyNumberFormat="1" applyFont="1" applyFill="1" applyBorder="1" applyAlignment="1">
      <alignment horizontal="right" vertical="center"/>
    </xf>
    <xf numFmtId="164" fontId="5" fillId="2" borderId="22" xfId="0" applyNumberFormat="1" applyFont="1" applyFill="1" applyBorder="1" applyAlignment="1">
      <alignment vertical="center"/>
    </xf>
    <xf numFmtId="164" fontId="5" fillId="2" borderId="23" xfId="0" applyNumberFormat="1" applyFont="1" applyFill="1" applyBorder="1" applyAlignment="1">
      <alignment vertical="center"/>
    </xf>
    <xf numFmtId="164" fontId="5" fillId="2" borderId="29" xfId="0" applyNumberFormat="1" applyFont="1" applyFill="1" applyBorder="1" applyAlignment="1">
      <alignment vertical="center"/>
    </xf>
    <xf numFmtId="0" fontId="7" fillId="0" borderId="0" xfId="0" applyFont="1" applyBorder="1"/>
    <xf numFmtId="3" fontId="7" fillId="2" borderId="0" xfId="0" applyNumberFormat="1" applyFont="1" applyFill="1" applyBorder="1"/>
    <xf numFmtId="0" fontId="11" fillId="2" borderId="0" xfId="0" applyFont="1" applyFill="1" applyBorder="1"/>
    <xf numFmtId="0" fontId="5" fillId="2" borderId="0" xfId="1" applyFont="1" applyFill="1" applyBorder="1" applyAlignment="1">
      <alignment horizontal="left" vertical="center" wrapText="1"/>
    </xf>
    <xf numFmtId="0" fontId="5" fillId="2" borderId="17" xfId="4" applyFont="1" applyFill="1" applyBorder="1" applyAlignment="1">
      <alignment horizontal="center" vertical="center" wrapText="1"/>
    </xf>
    <xf numFmtId="0" fontId="5" fillId="2" borderId="13" xfId="4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0" borderId="0" xfId="3" applyFont="1" applyFill="1" applyBorder="1" applyAlignment="1">
      <alignment horizontal="left" vertical="center" shrinkToFit="1"/>
    </xf>
    <xf numFmtId="0" fontId="8" fillId="2" borderId="30" xfId="0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7" xfId="4" applyFont="1" applyFill="1" applyBorder="1" applyAlignment="1">
      <alignment horizontal="center" vertical="center" wrapText="1"/>
    </xf>
    <xf numFmtId="0" fontId="8" fillId="2" borderId="13" xfId="4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4" xr:uid="{00000000-0005-0000-0000-000001000000}"/>
    <cellStyle name="Normal 6" xfId="3" xr:uid="{00000000-0005-0000-0000-000002000000}"/>
    <cellStyle name="Normal_2004 sonu itibariyle faaliyetler" xfId="1" xr:uid="{00000000-0005-0000-0000-000003000000}"/>
    <cellStyle name="Normal_BEŞ YILLIK KALKINMA PLANI" xfId="2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2.5. 2024 Yılına Göre İl Bazında Sulama Alanı Değişimi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3936249255017927E-2"/>
          <c:y val="7.9232227647373449E-2"/>
          <c:w val="0.93807678245357351"/>
          <c:h val="0.8443470810892792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2.8766112703817537E-4"/>
                  <c:y val="-5.37591469743845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77-428B-A7F6-C3108B2473A3}"/>
                </c:ext>
              </c:extLst>
            </c:dLbl>
            <c:dLbl>
              <c:idx val="3"/>
              <c:layout>
                <c:manualLayout>
                  <c:x val="-3.418730253972625E-4"/>
                  <c:y val="-1.2148279137207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77-428B-A7F6-C3108B2473A3}"/>
                </c:ext>
              </c:extLst>
            </c:dLbl>
            <c:dLbl>
              <c:idx val="7"/>
              <c:layout>
                <c:manualLayout>
                  <c:x val="-2.3302816338336598E-4"/>
                  <c:y val="-2.3905966467995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83-4937-9714-A00A1F7D8C84}"/>
                </c:ext>
              </c:extLst>
            </c:dLbl>
            <c:dLbl>
              <c:idx val="9"/>
              <c:layout>
                <c:manualLayout>
                  <c:x val="2.1094905625982969E-17"/>
                  <c:y val="-2.4808159590568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77-428B-A7F6-C3108B2473A3}"/>
                </c:ext>
              </c:extLst>
            </c:dLbl>
            <c:dLbl>
              <c:idx val="10"/>
              <c:layout>
                <c:manualLayout>
                  <c:x val="6.2952485856472497E-4"/>
                  <c:y val="1.707713092368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8D-405A-9184-0786DAD4623A}"/>
                </c:ext>
              </c:extLst>
            </c:dLbl>
            <c:dLbl>
              <c:idx val="11"/>
              <c:layout>
                <c:manualLayout>
                  <c:x val="3.418730253972625E-4"/>
                  <c:y val="-1.1371801449747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77-428B-A7F6-C3108B2473A3}"/>
                </c:ext>
              </c:extLst>
            </c:dLbl>
            <c:dLbl>
              <c:idx val="14"/>
              <c:layout>
                <c:manualLayout>
                  <c:x val="5.2175386309640697E-4"/>
                  <c:y val="-5.12219809202961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83-4937-9714-A00A1F7D8C84}"/>
                </c:ext>
              </c:extLst>
            </c:dLbl>
            <c:dLbl>
              <c:idx val="15"/>
              <c:layout>
                <c:manualLayout>
                  <c:x val="-2.3093926652622955E-4"/>
                  <c:y val="-2.174513998917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77-428B-A7F6-C3108B2473A3}"/>
                </c:ext>
              </c:extLst>
            </c:dLbl>
            <c:dLbl>
              <c:idx val="17"/>
              <c:layout>
                <c:manualLayout>
                  <c:x val="-4.2189811251965938E-17"/>
                  <c:y val="-1.765663202029822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77-428B-A7F6-C3108B2473A3}"/>
                </c:ext>
              </c:extLst>
            </c:dLbl>
            <c:dLbl>
              <c:idx val="18"/>
              <c:layout>
                <c:manualLayout>
                  <c:x val="-3.9608898649741008E-4"/>
                  <c:y val="-3.41515727471525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8D-405A-9184-0786DAD4623A}"/>
                </c:ext>
              </c:extLst>
            </c:dLbl>
            <c:dLbl>
              <c:idx val="22"/>
              <c:layout>
                <c:manualLayout>
                  <c:x val="9.7141124057371865E-4"/>
                  <c:y val="-1.70744418234668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8D-405A-9184-0786DAD4623A}"/>
                </c:ext>
              </c:extLst>
            </c:dLbl>
            <c:dLbl>
              <c:idx val="23"/>
              <c:layout>
                <c:manualLayout>
                  <c:x val="0"/>
                  <c:y val="7.342588140637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8D-405A-9184-0786DAD4623A}"/>
                </c:ext>
              </c:extLst>
            </c:dLbl>
            <c:dLbl>
              <c:idx val="25"/>
              <c:layout>
                <c:manualLayout>
                  <c:x val="-2.8766112703817537E-4"/>
                  <c:y val="4.0728574056206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77-428B-A7F6-C3108B2473A3}"/>
                </c:ext>
              </c:extLst>
            </c:dLbl>
            <c:dLbl>
              <c:idx val="26"/>
              <c:layout>
                <c:manualLayout>
                  <c:x val="0"/>
                  <c:y val="-3.41515727471525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8D-405A-9184-0786DAD4623A}"/>
                </c:ext>
              </c:extLst>
            </c:dLbl>
            <c:dLbl>
              <c:idx val="28"/>
              <c:layout>
                <c:manualLayout>
                  <c:x val="3.960889864973679E-4"/>
                  <c:y val="1.70757863735762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8D-405A-9184-0786DAD4623A}"/>
                </c:ext>
              </c:extLst>
            </c:dLbl>
            <c:dLbl>
              <c:idx val="30"/>
              <c:layout>
                <c:manualLayout>
                  <c:x val="6.8374605079452499E-4"/>
                  <c:y val="-1.6642168963696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0668161217089505E-2"/>
                      <c:h val="1.5487738240833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B77-428B-A7F6-C3108B2473A3}"/>
                </c:ext>
              </c:extLst>
            </c:dLbl>
            <c:dLbl>
              <c:idx val="33"/>
              <c:layout>
                <c:manualLayout>
                  <c:x val="-5.4202604488458679E-5"/>
                  <c:y val="-5.1226014570620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8D-405A-9184-0786DAD4623A}"/>
                </c:ext>
              </c:extLst>
            </c:dLbl>
            <c:dLbl>
              <c:idx val="34"/>
              <c:layout>
                <c:manualLayout>
                  <c:x val="-2.3345852254980104E-4"/>
                  <c:y val="-2.72809216944785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77-428B-A7F6-C3108B2473A3}"/>
                </c:ext>
              </c:extLst>
            </c:dLbl>
            <c:dLbl>
              <c:idx val="38"/>
              <c:layout>
                <c:manualLayout>
                  <c:x val="4.1269179012878382E-4"/>
                  <c:y val="-1.252209868427003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8D-405A-9184-0786DAD4623A}"/>
                </c:ext>
              </c:extLst>
            </c:dLbl>
            <c:dLbl>
              <c:idx val="45"/>
              <c:layout>
                <c:manualLayout>
                  <c:x val="0"/>
                  <c:y val="0.136606559898631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34-404E-8A66-417A11A08652}"/>
                </c:ext>
              </c:extLst>
            </c:dLbl>
            <c:dLbl>
              <c:idx val="46"/>
              <c:layout>
                <c:manualLayout>
                  <c:x val="9.6567016063590536E-4"/>
                  <c:y val="-1.09018811869473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750500393086682E-3"/>
                      <c:h val="3.08559459770522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B77-428B-A7F6-C3108B2473A3}"/>
                </c:ext>
              </c:extLst>
            </c:dLbl>
            <c:dLbl>
              <c:idx val="48"/>
              <c:layout>
                <c:manualLayout>
                  <c:x val="1.5738981501267175E-3"/>
                  <c:y val="-7.14431074538145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77-428B-A7F6-C3108B2473A3}"/>
                </c:ext>
              </c:extLst>
            </c:dLbl>
            <c:dLbl>
              <c:idx val="49"/>
              <c:layout>
                <c:manualLayout>
                  <c:x val="7.6356128861354946E-4"/>
                  <c:y val="-1.53009802308108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77-428B-A7F6-C3108B2473A3}"/>
                </c:ext>
              </c:extLst>
            </c:dLbl>
            <c:dLbl>
              <c:idx val="50"/>
              <c:layout>
                <c:manualLayout>
                  <c:x val="-5.7532225407635074E-4"/>
                  <c:y val="-5.63191703803140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77-428B-A7F6-C3108B2473A3}"/>
                </c:ext>
              </c:extLst>
            </c:dLbl>
            <c:dLbl>
              <c:idx val="58"/>
              <c:layout>
                <c:manualLayout>
                  <c:x val="3.4187302539716221E-4"/>
                  <c:y val="-6.16166978064471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77-428B-A7F6-C3108B2473A3}"/>
                </c:ext>
              </c:extLst>
            </c:dLbl>
            <c:dLbl>
              <c:idx val="59"/>
              <c:layout>
                <c:manualLayout>
                  <c:x val="-3.4227144021054077E-4"/>
                  <c:y val="2.9028971290090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9B-4C11-8685-9B96D5092A8B}"/>
                </c:ext>
              </c:extLst>
            </c:dLbl>
            <c:dLbl>
              <c:idx val="60"/>
              <c:layout>
                <c:manualLayout>
                  <c:x val="-1.0028159565497996E-16"/>
                  <c:y val="-1.13762384651046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B77-428B-A7F6-C3108B2473A3}"/>
                </c:ext>
              </c:extLst>
            </c:dLbl>
            <c:dLbl>
              <c:idx val="65"/>
              <c:layout>
                <c:manualLayout>
                  <c:x val="-5.3787703263065715E-8"/>
                  <c:y val="-5.10028192526667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77-428B-A7F6-C3108B2473A3}"/>
                </c:ext>
              </c:extLst>
            </c:dLbl>
            <c:dLbl>
              <c:idx val="68"/>
              <c:layout>
                <c:manualLayout>
                  <c:x val="2.3388888171623612E-4"/>
                  <c:y val="5.2935475578129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34-404E-8A66-417A11A08652}"/>
                </c:ext>
              </c:extLst>
            </c:dLbl>
            <c:dLbl>
              <c:idx val="75"/>
              <c:layout>
                <c:manualLayout>
                  <c:x val="-4.5029159098574218E-4"/>
                  <c:y val="-3.41515727471525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8D-405A-9184-0786DAD4623A}"/>
                </c:ext>
              </c:extLst>
            </c:dLbl>
            <c:dLbl>
              <c:idx val="76"/>
              <c:layout>
                <c:manualLayout>
                  <c:x val="-5.4202604488543057E-5"/>
                  <c:y val="-1.70757863735762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8D-405A-9184-0786DAD4623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 anchor="ctr" anchorCtr="1"/>
              <a:lstStyle/>
              <a:p>
                <a:pPr>
                  <a:defRPr sz="12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'2.5.Tablo'!$AO$8:$AO$88</c:f>
              <c:numCache>
                <c:formatCode>#,##0</c:formatCode>
                <c:ptCount val="81"/>
                <c:pt idx="0">
                  <c:v>-10.485751262763841</c:v>
                </c:pt>
                <c:pt idx="1">
                  <c:v>-26.851890471614752</c:v>
                </c:pt>
                <c:pt idx="2">
                  <c:v>22.129580609849654</c:v>
                </c:pt>
                <c:pt idx="3">
                  <c:v>-76.194705640089524</c:v>
                </c:pt>
                <c:pt idx="4">
                  <c:v>1836.5199262151436</c:v>
                </c:pt>
                <c:pt idx="5">
                  <c:v>6135.8109181923501</c:v>
                </c:pt>
                <c:pt idx="6">
                  <c:v>2965.2379667923524</c:v>
                </c:pt>
                <c:pt idx="7">
                  <c:v>218.89774001733167</c:v>
                </c:pt>
                <c:pt idx="8">
                  <c:v>203.72418521766667</c:v>
                </c:pt>
                <c:pt idx="9">
                  <c:v>2993.4352524438073</c:v>
                </c:pt>
                <c:pt idx="10">
                  <c:v>-170.09577558760066</c:v>
                </c:pt>
                <c:pt idx="11">
                  <c:v>2240.9141409992735</c:v>
                </c:pt>
                <c:pt idx="12">
                  <c:v>504.19389872295869</c:v>
                </c:pt>
                <c:pt idx="13">
                  <c:v>-155.37045710961684</c:v>
                </c:pt>
                <c:pt idx="14">
                  <c:v>-1160.2831781805871</c:v>
                </c:pt>
                <c:pt idx="15">
                  <c:v>280.74358811017009</c:v>
                </c:pt>
                <c:pt idx="16">
                  <c:v>-32.96889569142877</c:v>
                </c:pt>
                <c:pt idx="17">
                  <c:v>-7.2564739174085844</c:v>
                </c:pt>
                <c:pt idx="18">
                  <c:v>451.49353153095763</c:v>
                </c:pt>
                <c:pt idx="19">
                  <c:v>-22.333325510036957</c:v>
                </c:pt>
                <c:pt idx="20">
                  <c:v>-14.866575357622423</c:v>
                </c:pt>
                <c:pt idx="21">
                  <c:v>-1.6709840086234635</c:v>
                </c:pt>
                <c:pt idx="22">
                  <c:v>-99.11008886705531</c:v>
                </c:pt>
                <c:pt idx="23">
                  <c:v>-2018.9276753019076</c:v>
                </c:pt>
                <c:pt idx="24">
                  <c:v>53.709893731691409</c:v>
                </c:pt>
                <c:pt idx="25">
                  <c:v>-1401.9252260513604</c:v>
                </c:pt>
                <c:pt idx="26">
                  <c:v>183.086845294878</c:v>
                </c:pt>
                <c:pt idx="27">
                  <c:v>983.19390710505832</c:v>
                </c:pt>
                <c:pt idx="28">
                  <c:v>35592.92550936644</c:v>
                </c:pt>
                <c:pt idx="29">
                  <c:v>397.52940078578831</c:v>
                </c:pt>
                <c:pt idx="30">
                  <c:v>-89.151091321888089</c:v>
                </c:pt>
                <c:pt idx="31">
                  <c:v>113.61575544823427</c:v>
                </c:pt>
                <c:pt idx="32">
                  <c:v>-63.789270013803616</c:v>
                </c:pt>
                <c:pt idx="33">
                  <c:v>-22.721494562529188</c:v>
                </c:pt>
                <c:pt idx="34">
                  <c:v>415.29277010070655</c:v>
                </c:pt>
                <c:pt idx="35">
                  <c:v>1017.0872420477608</c:v>
                </c:pt>
                <c:pt idx="36">
                  <c:v>-18.882549411100626</c:v>
                </c:pt>
                <c:pt idx="37">
                  <c:v>-14.725372123470152</c:v>
                </c:pt>
                <c:pt idx="38">
                  <c:v>3408.5298461548664</c:v>
                </c:pt>
                <c:pt idx="39">
                  <c:v>53.574749640552909</c:v>
                </c:pt>
                <c:pt idx="40">
                  <c:v>385.71246368454013</c:v>
                </c:pt>
                <c:pt idx="41">
                  <c:v>0</c:v>
                </c:pt>
                <c:pt idx="42">
                  <c:v>-2.297494812874902</c:v>
                </c:pt>
                <c:pt idx="43">
                  <c:v>0</c:v>
                </c:pt>
                <c:pt idx="44">
                  <c:v>364.08724204776809</c:v>
                </c:pt>
                <c:pt idx="45">
                  <c:v>15.74051914276788</c:v>
                </c:pt>
                <c:pt idx="46">
                  <c:v>-22.211995683774148</c:v>
                </c:pt>
                <c:pt idx="47">
                  <c:v>1300.5885471412257</c:v>
                </c:pt>
                <c:pt idx="48">
                  <c:v>104.94131410143746</c:v>
                </c:pt>
                <c:pt idx="49">
                  <c:v>56.702952232630196</c:v>
                </c:pt>
                <c:pt idx="50">
                  <c:v>-118.83976883276773</c:v>
                </c:pt>
                <c:pt idx="51">
                  <c:v>0</c:v>
                </c:pt>
                <c:pt idx="52">
                  <c:v>0</c:v>
                </c:pt>
                <c:pt idx="53">
                  <c:v>624.77849789357754</c:v>
                </c:pt>
                <c:pt idx="54">
                  <c:v>0</c:v>
                </c:pt>
                <c:pt idx="55">
                  <c:v>0</c:v>
                </c:pt>
                <c:pt idx="56">
                  <c:v>-22.45897323706231</c:v>
                </c:pt>
                <c:pt idx="57">
                  <c:v>-112.49391654890496</c:v>
                </c:pt>
                <c:pt idx="58">
                  <c:v>-91.862662591847766</c:v>
                </c:pt>
                <c:pt idx="59">
                  <c:v>-1677.9274411618244</c:v>
                </c:pt>
                <c:pt idx="60">
                  <c:v>2398.0937080021686</c:v>
                </c:pt>
                <c:pt idx="61">
                  <c:v>-14.93868212103007</c:v>
                </c:pt>
                <c:pt idx="62">
                  <c:v>-128.53277095008525</c:v>
                </c:pt>
                <c:pt idx="63">
                  <c:v>0</c:v>
                </c:pt>
                <c:pt idx="64">
                  <c:v>525.32648627265007</c:v>
                </c:pt>
                <c:pt idx="65">
                  <c:v>1088.5971728842342</c:v>
                </c:pt>
                <c:pt idx="66">
                  <c:v>1115.3009588567256</c:v>
                </c:pt>
                <c:pt idx="67">
                  <c:v>-7.6981839335203404</c:v>
                </c:pt>
                <c:pt idx="68">
                  <c:v>-2402.2776029643574</c:v>
                </c:pt>
                <c:pt idx="69">
                  <c:v>-44.533663364676613</c:v>
                </c:pt>
                <c:pt idx="70">
                  <c:v>-12.973225327138607</c:v>
                </c:pt>
                <c:pt idx="71">
                  <c:v>0</c:v>
                </c:pt>
                <c:pt idx="72">
                  <c:v>-376.99436107977817</c:v>
                </c:pt>
                <c:pt idx="73">
                  <c:v>-29.67960975162714</c:v>
                </c:pt>
                <c:pt idx="74">
                  <c:v>-36.604921300433034</c:v>
                </c:pt>
                <c:pt idx="75">
                  <c:v>29371.903087799205</c:v>
                </c:pt>
                <c:pt idx="76">
                  <c:v>16250.221533958415</c:v>
                </c:pt>
                <c:pt idx="77">
                  <c:v>-19.048784399452416</c:v>
                </c:pt>
                <c:pt idx="78">
                  <c:v>-23.745674136238449</c:v>
                </c:pt>
                <c:pt idx="79">
                  <c:v>-4.9106199571169782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B77-428B-A7F6-C3108B247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956800"/>
        <c:axId val="326957360"/>
      </c:barChart>
      <c:catAx>
        <c:axId val="3269568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tr-TR"/>
          </a:p>
        </c:txPr>
        <c:crossAx val="326957360"/>
        <c:crosses val="autoZero"/>
        <c:auto val="1"/>
        <c:lblAlgn val="ctr"/>
        <c:lblOffset val="1000"/>
        <c:noMultiLvlLbl val="0"/>
      </c:catAx>
      <c:valAx>
        <c:axId val="326957360"/>
        <c:scaling>
          <c:orientation val="minMax"/>
          <c:min val="-1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tr-TR"/>
          </a:p>
        </c:txPr>
        <c:crossAx val="32695680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txPr>
    <a:bodyPr/>
    <a:lstStyle/>
    <a:p>
      <a:pPr>
        <a:defRPr>
          <a:solidFill>
            <a:srgbClr val="FF0000"/>
          </a:solidFill>
        </a:defRPr>
      </a:pPr>
      <a:endParaRPr lang="tr-TR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2.5.İl Bazında Sulama Alanı, 2023-2024 Yılları Karşılaştırması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7003309872089392E-2"/>
          <c:y val="0.117976753352415"/>
          <c:w val="0.94294416306568818"/>
          <c:h val="0.710687874323928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'2.5.Tablo'!$AB$4:$AG$4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ECC-4783-A4B8-DE358DBED87B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CC-4783-A4B8-DE358DBED87B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CC-4783-A4B8-DE358DBED87B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CC-4783-A4B8-DE358DBED87B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CC-4783-A4B8-DE358DBED87B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CC-4783-A4B8-DE358DBED87B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CC-4783-A4B8-DE358DBED87B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CC-4783-A4B8-DE358DBED87B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CC-4783-A4B8-DE358DBED87B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CC-4783-A4B8-DE358DBED8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'2.5.Tablo'!$AG$8:$AG$88</c:f>
              <c:numCache>
                <c:formatCode>#,##0</c:formatCode>
                <c:ptCount val="81"/>
                <c:pt idx="0">
                  <c:v>60.485751262763841</c:v>
                </c:pt>
                <c:pt idx="1">
                  <c:v>17372.851890471615</c:v>
                </c:pt>
                <c:pt idx="2">
                  <c:v>87147.87041939015</c:v>
                </c:pt>
                <c:pt idx="3">
                  <c:v>49500.19470564009</c:v>
                </c:pt>
                <c:pt idx="4">
                  <c:v>119557.48007378486</c:v>
                </c:pt>
                <c:pt idx="5">
                  <c:v>69381.18908180765</c:v>
                </c:pt>
                <c:pt idx="6">
                  <c:v>105106.76203320765</c:v>
                </c:pt>
                <c:pt idx="7">
                  <c:v>133000.10225998267</c:v>
                </c:pt>
                <c:pt idx="8">
                  <c:v>170751.27581478233</c:v>
                </c:pt>
                <c:pt idx="9">
                  <c:v>35807.564747556193</c:v>
                </c:pt>
                <c:pt idx="10">
                  <c:v>147319.0957755876</c:v>
                </c:pt>
                <c:pt idx="11">
                  <c:v>120712.08585900073</c:v>
                </c:pt>
                <c:pt idx="12">
                  <c:v>55677.806101277041</c:v>
                </c:pt>
                <c:pt idx="13">
                  <c:v>17105.370457109617</c:v>
                </c:pt>
                <c:pt idx="14">
                  <c:v>127751.28317818059</c:v>
                </c:pt>
                <c:pt idx="15">
                  <c:v>120318.25641188983</c:v>
                </c:pt>
                <c:pt idx="16">
                  <c:v>30129.968895691429</c:v>
                </c:pt>
                <c:pt idx="17">
                  <c:v>5137.2564739174086</c:v>
                </c:pt>
                <c:pt idx="18">
                  <c:v>15254.506468469042</c:v>
                </c:pt>
                <c:pt idx="19">
                  <c:v>14527.333325510037</c:v>
                </c:pt>
                <c:pt idx="20">
                  <c:v>9197.8665753576224</c:v>
                </c:pt>
                <c:pt idx="21">
                  <c:v>830.67098400862346</c:v>
                </c:pt>
                <c:pt idx="22">
                  <c:v>27408.110088867055</c:v>
                </c:pt>
                <c:pt idx="23">
                  <c:v>404099.92767530191</c:v>
                </c:pt>
                <c:pt idx="24">
                  <c:v>91309.290106268309</c:v>
                </c:pt>
                <c:pt idx="25">
                  <c:v>141486.92522605136</c:v>
                </c:pt>
                <c:pt idx="26">
                  <c:v>107200.91315470512</c:v>
                </c:pt>
                <c:pt idx="27">
                  <c:v>71242.806092894942</c:v>
                </c:pt>
                <c:pt idx="28">
                  <c:v>384610.07449063356</c:v>
                </c:pt>
                <c:pt idx="29">
                  <c:v>73940.470599214212</c:v>
                </c:pt>
                <c:pt idx="30">
                  <c:v>58128.151091321888</c:v>
                </c:pt>
                <c:pt idx="31">
                  <c:v>71854.384244551766</c:v>
                </c:pt>
                <c:pt idx="32">
                  <c:v>40608.789270013804</c:v>
                </c:pt>
                <c:pt idx="33">
                  <c:v>14907.721494562529</c:v>
                </c:pt>
                <c:pt idx="34">
                  <c:v>44541.707229899293</c:v>
                </c:pt>
                <c:pt idx="35">
                  <c:v>42159.912757952239</c:v>
                </c:pt>
                <c:pt idx="36">
                  <c:v>12478.882549411101</c:v>
                </c:pt>
                <c:pt idx="37">
                  <c:v>30597.72537212347</c:v>
                </c:pt>
                <c:pt idx="38">
                  <c:v>99176.470153845134</c:v>
                </c:pt>
                <c:pt idx="39">
                  <c:v>96348.425250359447</c:v>
                </c:pt>
                <c:pt idx="40">
                  <c:v>52832.28753631546</c:v>
                </c:pt>
                <c:pt idx="41">
                  <c:v>0</c:v>
                </c:pt>
                <c:pt idx="42">
                  <c:v>1614.2974948128749</c:v>
                </c:pt>
                <c:pt idx="43">
                  <c:v>0</c:v>
                </c:pt>
                <c:pt idx="44">
                  <c:v>42159.912757952232</c:v>
                </c:pt>
                <c:pt idx="45">
                  <c:v>33943.259480857232</c:v>
                </c:pt>
                <c:pt idx="46">
                  <c:v>14429.211995683774</c:v>
                </c:pt>
                <c:pt idx="47">
                  <c:v>60277.411452858774</c:v>
                </c:pt>
                <c:pt idx="48">
                  <c:v>66916.058685898563</c:v>
                </c:pt>
                <c:pt idx="49">
                  <c:v>29963.29704776737</c:v>
                </c:pt>
                <c:pt idx="50">
                  <c:v>76476.839768832768</c:v>
                </c:pt>
                <c:pt idx="51">
                  <c:v>0</c:v>
                </c:pt>
                <c:pt idx="52">
                  <c:v>0</c:v>
                </c:pt>
                <c:pt idx="53">
                  <c:v>899.22150210642246</c:v>
                </c:pt>
                <c:pt idx="54">
                  <c:v>0</c:v>
                </c:pt>
                <c:pt idx="55">
                  <c:v>0</c:v>
                </c:pt>
                <c:pt idx="56">
                  <c:v>14418.458973237062</c:v>
                </c:pt>
                <c:pt idx="57">
                  <c:v>71577.493916548905</c:v>
                </c:pt>
                <c:pt idx="58">
                  <c:v>58880.862662591848</c:v>
                </c:pt>
                <c:pt idx="59">
                  <c:v>37097.927441161824</c:v>
                </c:pt>
                <c:pt idx="60">
                  <c:v>22235.906291997831</c:v>
                </c:pt>
                <c:pt idx="61">
                  <c:v>9787.9386821210301</c:v>
                </c:pt>
                <c:pt idx="62">
                  <c:v>82166.532770950085</c:v>
                </c:pt>
                <c:pt idx="63">
                  <c:v>0</c:v>
                </c:pt>
                <c:pt idx="64">
                  <c:v>114019.67351372735</c:v>
                </c:pt>
                <c:pt idx="65">
                  <c:v>42013.402827115766</c:v>
                </c:pt>
                <c:pt idx="66">
                  <c:v>16606.699041143274</c:v>
                </c:pt>
                <c:pt idx="67">
                  <c:v>4818.6981839335203</c:v>
                </c:pt>
                <c:pt idx="68">
                  <c:v>57355.277602964357</c:v>
                </c:pt>
                <c:pt idx="69">
                  <c:v>28581.533663364677</c:v>
                </c:pt>
                <c:pt idx="70">
                  <c:v>8131.9732253271386</c:v>
                </c:pt>
                <c:pt idx="71">
                  <c:v>0</c:v>
                </c:pt>
                <c:pt idx="72">
                  <c:v>47897.994361079778</c:v>
                </c:pt>
                <c:pt idx="73">
                  <c:v>19094.679609751627</c:v>
                </c:pt>
                <c:pt idx="74">
                  <c:v>1818.604921300433</c:v>
                </c:pt>
                <c:pt idx="75">
                  <c:v>442058.0969122008</c:v>
                </c:pt>
                <c:pt idx="76">
                  <c:v>58247.778466041585</c:v>
                </c:pt>
                <c:pt idx="77">
                  <c:v>12292.048784399452</c:v>
                </c:pt>
                <c:pt idx="78">
                  <c:v>14993.745674136238</c:v>
                </c:pt>
                <c:pt idx="79">
                  <c:v>3350.910619957117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CC-4783-A4B8-DE358DBED87B}"/>
            </c:ext>
          </c:extLst>
        </c:ser>
        <c:ser>
          <c:idx val="2"/>
          <c:order val="1"/>
          <c:tx>
            <c:strRef>
              <c:f>'2.5.Tablo'!$AH$4:$AM$4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8000" anchor="ctr">
                  <a:spAutoFit/>
                </a:bodyPr>
                <a:lstStyle/>
                <a:p>
                  <a:pPr>
                    <a:defRPr sz="1400"/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0ECC-4783-A4B8-DE358DBED8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'2.5.Tablo'!$AM$8:$AM$88</c:f>
              <c:numCache>
                <c:formatCode>#,##0</c:formatCode>
                <c:ptCount val="81"/>
                <c:pt idx="0">
                  <c:v>50</c:v>
                </c:pt>
                <c:pt idx="1">
                  <c:v>17346</c:v>
                </c:pt>
                <c:pt idx="2">
                  <c:v>87170</c:v>
                </c:pt>
                <c:pt idx="3">
                  <c:v>49424</c:v>
                </c:pt>
                <c:pt idx="4">
                  <c:v>121394</c:v>
                </c:pt>
                <c:pt idx="5">
                  <c:v>75517</c:v>
                </c:pt>
                <c:pt idx="6">
                  <c:v>108072</c:v>
                </c:pt>
                <c:pt idx="7">
                  <c:v>133219</c:v>
                </c:pt>
                <c:pt idx="8">
                  <c:v>170955</c:v>
                </c:pt>
                <c:pt idx="9">
                  <c:v>38801</c:v>
                </c:pt>
                <c:pt idx="10">
                  <c:v>147149</c:v>
                </c:pt>
                <c:pt idx="11">
                  <c:v>122953</c:v>
                </c:pt>
                <c:pt idx="12">
                  <c:v>56182</c:v>
                </c:pt>
                <c:pt idx="13">
                  <c:v>16950</c:v>
                </c:pt>
                <c:pt idx="14">
                  <c:v>126591</c:v>
                </c:pt>
                <c:pt idx="15">
                  <c:v>120599</c:v>
                </c:pt>
                <c:pt idx="16">
                  <c:v>30097</c:v>
                </c:pt>
                <c:pt idx="17">
                  <c:v>5130</c:v>
                </c:pt>
                <c:pt idx="18">
                  <c:v>15706</c:v>
                </c:pt>
                <c:pt idx="19">
                  <c:v>14505</c:v>
                </c:pt>
                <c:pt idx="20">
                  <c:v>9183</c:v>
                </c:pt>
                <c:pt idx="21">
                  <c:v>829</c:v>
                </c:pt>
                <c:pt idx="22">
                  <c:v>27309</c:v>
                </c:pt>
                <c:pt idx="23">
                  <c:v>402081</c:v>
                </c:pt>
                <c:pt idx="24">
                  <c:v>91363</c:v>
                </c:pt>
                <c:pt idx="25">
                  <c:v>140085</c:v>
                </c:pt>
                <c:pt idx="26">
                  <c:v>107384</c:v>
                </c:pt>
                <c:pt idx="27">
                  <c:v>72226</c:v>
                </c:pt>
                <c:pt idx="28">
                  <c:v>420203</c:v>
                </c:pt>
                <c:pt idx="29">
                  <c:v>74338</c:v>
                </c:pt>
                <c:pt idx="30">
                  <c:v>58039</c:v>
                </c:pt>
                <c:pt idx="31">
                  <c:v>71968</c:v>
                </c:pt>
                <c:pt idx="32">
                  <c:v>40545</c:v>
                </c:pt>
                <c:pt idx="33">
                  <c:v>14885</c:v>
                </c:pt>
                <c:pt idx="34">
                  <c:v>44957</c:v>
                </c:pt>
                <c:pt idx="35">
                  <c:v>43177</c:v>
                </c:pt>
                <c:pt idx="36">
                  <c:v>12460</c:v>
                </c:pt>
                <c:pt idx="37">
                  <c:v>30583</c:v>
                </c:pt>
                <c:pt idx="38">
                  <c:v>102585</c:v>
                </c:pt>
                <c:pt idx="39">
                  <c:v>96402</c:v>
                </c:pt>
                <c:pt idx="40">
                  <c:v>53218</c:v>
                </c:pt>
                <c:pt idx="41">
                  <c:v>0</c:v>
                </c:pt>
                <c:pt idx="42">
                  <c:v>1612</c:v>
                </c:pt>
                <c:pt idx="43">
                  <c:v>0</c:v>
                </c:pt>
                <c:pt idx="44">
                  <c:v>42524</c:v>
                </c:pt>
                <c:pt idx="45">
                  <c:v>33959</c:v>
                </c:pt>
                <c:pt idx="46">
                  <c:v>14407</c:v>
                </c:pt>
                <c:pt idx="47">
                  <c:v>61578</c:v>
                </c:pt>
                <c:pt idx="48">
                  <c:v>67021</c:v>
                </c:pt>
                <c:pt idx="49">
                  <c:v>30020</c:v>
                </c:pt>
                <c:pt idx="50">
                  <c:v>76358</c:v>
                </c:pt>
                <c:pt idx="51">
                  <c:v>0</c:v>
                </c:pt>
                <c:pt idx="52">
                  <c:v>0</c:v>
                </c:pt>
                <c:pt idx="53">
                  <c:v>1524</c:v>
                </c:pt>
                <c:pt idx="54">
                  <c:v>0</c:v>
                </c:pt>
                <c:pt idx="55">
                  <c:v>0</c:v>
                </c:pt>
                <c:pt idx="56">
                  <c:v>14396</c:v>
                </c:pt>
                <c:pt idx="57">
                  <c:v>71465</c:v>
                </c:pt>
                <c:pt idx="58">
                  <c:v>58789</c:v>
                </c:pt>
                <c:pt idx="59">
                  <c:v>35420</c:v>
                </c:pt>
                <c:pt idx="60">
                  <c:v>24634</c:v>
                </c:pt>
                <c:pt idx="61">
                  <c:v>9773</c:v>
                </c:pt>
                <c:pt idx="62">
                  <c:v>82038</c:v>
                </c:pt>
                <c:pt idx="63">
                  <c:v>0</c:v>
                </c:pt>
                <c:pt idx="64">
                  <c:v>114545</c:v>
                </c:pt>
                <c:pt idx="65">
                  <c:v>43102</c:v>
                </c:pt>
                <c:pt idx="66">
                  <c:v>17722</c:v>
                </c:pt>
                <c:pt idx="67">
                  <c:v>4811</c:v>
                </c:pt>
                <c:pt idx="68">
                  <c:v>54953</c:v>
                </c:pt>
                <c:pt idx="69">
                  <c:v>28537</c:v>
                </c:pt>
                <c:pt idx="70">
                  <c:v>8119</c:v>
                </c:pt>
                <c:pt idx="71">
                  <c:v>0</c:v>
                </c:pt>
                <c:pt idx="72">
                  <c:v>47521</c:v>
                </c:pt>
                <c:pt idx="73">
                  <c:v>19065</c:v>
                </c:pt>
                <c:pt idx="74">
                  <c:v>1782</c:v>
                </c:pt>
                <c:pt idx="75">
                  <c:v>471430</c:v>
                </c:pt>
                <c:pt idx="76">
                  <c:v>74498</c:v>
                </c:pt>
                <c:pt idx="77">
                  <c:v>12273</c:v>
                </c:pt>
                <c:pt idx="78">
                  <c:v>14970</c:v>
                </c:pt>
                <c:pt idx="79">
                  <c:v>3346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CC-4783-A4B8-DE358DBED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32"/>
        <c:axId val="326960160"/>
        <c:axId val="326960720"/>
      </c:barChart>
      <c:catAx>
        <c:axId val="32696016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26960720"/>
        <c:crosses val="autoZero"/>
        <c:auto val="1"/>
        <c:lblAlgn val="ctr"/>
        <c:lblOffset val="100"/>
        <c:noMultiLvlLbl val="0"/>
      </c:catAx>
      <c:valAx>
        <c:axId val="32696072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2696016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46546512603463625"/>
          <c:y val="6.2095884968573989E-2"/>
          <c:w val="6.0500015787080023E-2"/>
          <c:h val="4.1312818901312172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418819</xdr:colOff>
      <xdr:row>1</xdr:row>
      <xdr:rowOff>49024</xdr:rowOff>
    </xdr:from>
    <xdr:ext cx="381000" cy="261938"/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8613" y="295553"/>
          <a:ext cx="381000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157955</xdr:colOff>
      <xdr:row>91</xdr:row>
      <xdr:rowOff>55568</xdr:rowOff>
    </xdr:from>
    <xdr:to>
      <xdr:col>39</xdr:col>
      <xdr:colOff>31750</xdr:colOff>
      <xdr:row>130</xdr:row>
      <xdr:rowOff>63500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136341</xdr:colOff>
      <xdr:row>131</xdr:row>
      <xdr:rowOff>160618</xdr:rowOff>
    </xdr:from>
    <xdr:to>
      <xdr:col>39</xdr:col>
      <xdr:colOff>31751</xdr:colOff>
      <xdr:row>174</xdr:row>
      <xdr:rowOff>31750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0.00406</cdr:x>
      <cdr:y>0.01995</cdr:y>
    </cdr:from>
    <cdr:to>
      <cdr:x>0.02286</cdr:x>
      <cdr:y>0.10139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055F61D3-F879-47AE-BF32-174C2829372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79208" y="148353"/>
          <a:ext cx="829953" cy="605704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0.45918</cdr:x>
      <cdr:y>0.05861</cdr:y>
    </cdr:from>
    <cdr:to>
      <cdr:x>0.51947</cdr:x>
      <cdr:y>0.21277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6965155" y="3476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0.00367</cdr:x>
      <cdr:y>0.02205</cdr:y>
    </cdr:from>
    <cdr:to>
      <cdr:x>0.02246</cdr:x>
      <cdr:y>0.09718</cdr:y>
    </cdr:to>
    <cdr:pic>
      <cdr:nvPicPr>
        <cdr:cNvPr id="4" name="Resim 3">
          <a:extLst xmlns:a="http://schemas.openxmlformats.org/drawingml/2006/main">
            <a:ext uri="{FF2B5EF4-FFF2-40B4-BE49-F238E27FC236}">
              <a16:creationId xmlns:a16="http://schemas.microsoft.com/office/drawing/2014/main" id="{05E487F1-615E-44D3-8248-D3FD410A469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61925" y="177800"/>
          <a:ext cx="829953" cy="60570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1"/>
  <sheetViews>
    <sheetView showGridLines="0" tabSelected="1" zoomScale="60" zoomScaleNormal="60" workbookViewId="0">
      <selection activeCell="L18" sqref="L18"/>
    </sheetView>
  </sheetViews>
  <sheetFormatPr defaultRowHeight="15" x14ac:dyDescent="0.25"/>
  <cols>
    <col min="1" max="1" width="1.28515625" style="1" customWidth="1"/>
    <col min="2" max="2" width="12" style="2" customWidth="1"/>
    <col min="3" max="3" width="16.85546875" style="2" bestFit="1" customWidth="1"/>
    <col min="4" max="4" width="18.42578125" style="2" customWidth="1"/>
    <col min="5" max="5" width="18.140625" style="2" customWidth="1"/>
    <col min="6" max="6" width="19" style="2" customWidth="1"/>
    <col min="7" max="7" width="19.28515625" style="2" customWidth="1"/>
    <col min="8" max="8" width="20.5703125" style="2" customWidth="1"/>
    <col min="9" max="9" width="13.5703125" style="2" customWidth="1"/>
    <col min="10" max="10" width="21" style="2" customWidth="1"/>
    <col min="11" max="11" width="20.28515625" style="2" customWidth="1"/>
    <col min="12" max="13" width="18.85546875" style="2" customWidth="1"/>
    <col min="14" max="14" width="20" style="2" customWidth="1"/>
    <col min="15" max="15" width="14.140625" style="2" customWidth="1"/>
    <col min="16" max="17" width="20.140625" style="2" customWidth="1"/>
    <col min="18" max="18" width="19.5703125" style="2" customWidth="1"/>
    <col min="19" max="19" width="18" style="2" customWidth="1"/>
    <col min="20" max="20" width="20.28515625" style="2" customWidth="1"/>
    <col min="21" max="21" width="14.28515625" style="2" customWidth="1"/>
    <col min="22" max="22" width="15.42578125" style="2" customWidth="1"/>
    <col min="23" max="23" width="17.42578125" style="2" customWidth="1"/>
    <col min="24" max="24" width="19" style="2" customWidth="1"/>
    <col min="25" max="25" width="14.28515625" style="2" customWidth="1"/>
    <col min="26" max="26" width="16" style="2" customWidth="1"/>
    <col min="27" max="27" width="14.28515625" style="2" customWidth="1"/>
    <col min="28" max="29" width="17.140625" style="2" customWidth="1"/>
    <col min="30" max="30" width="18.85546875" style="2" customWidth="1"/>
    <col min="31" max="31" width="15.42578125" style="2" customWidth="1"/>
    <col min="32" max="32" width="17.85546875" style="2" customWidth="1"/>
    <col min="33" max="33" width="15.28515625" style="2" customWidth="1"/>
    <col min="34" max="34" width="16.28515625" style="2" customWidth="1"/>
    <col min="35" max="35" width="17.5703125" style="2" customWidth="1"/>
    <col min="36" max="36" width="18.85546875" style="2" customWidth="1"/>
    <col min="37" max="37" width="15.7109375" style="2" customWidth="1"/>
    <col min="38" max="38" width="19.85546875" style="2" customWidth="1"/>
    <col min="39" max="40" width="14.7109375" style="2" customWidth="1"/>
    <col min="41" max="41" width="14.7109375" style="56" customWidth="1"/>
    <col min="42" max="42" width="19" style="2" customWidth="1"/>
    <col min="43" max="43" width="14.7109375" style="2" customWidth="1"/>
    <col min="44" max="44" width="20.140625" style="2" customWidth="1"/>
    <col min="45" max="45" width="14.7109375" style="2" customWidth="1"/>
    <col min="46" max="46" width="16.28515625" style="2" customWidth="1"/>
    <col min="47" max="47" width="17.5703125" style="2" customWidth="1"/>
    <col min="48" max="48" width="18.85546875" style="2" customWidth="1"/>
    <col min="49" max="49" width="15.7109375" style="2" customWidth="1"/>
    <col min="50" max="50" width="19.85546875" style="2" customWidth="1"/>
    <col min="51" max="58" width="14.7109375" style="2" customWidth="1"/>
    <col min="59" max="59" width="17.85546875" style="2" customWidth="1"/>
    <col min="60" max="60" width="18.85546875" style="2" customWidth="1"/>
    <col min="61" max="61" width="15.7109375" style="2" customWidth="1"/>
    <col min="62" max="62" width="16.5703125" style="2" customWidth="1"/>
    <col min="63" max="64" width="14.7109375" style="2" customWidth="1"/>
    <col min="65" max="65" width="17.28515625" style="2" customWidth="1"/>
    <col min="66" max="66" width="19.42578125" style="2" customWidth="1"/>
    <col min="67" max="67" width="16.140625" style="2" customWidth="1"/>
    <col min="68" max="68" width="20.28515625" style="2" customWidth="1"/>
    <col min="69" max="69" width="14.7109375" style="2" customWidth="1"/>
    <col min="70" max="70" width="16.28515625" style="51" customWidth="1"/>
    <col min="71" max="71" width="17.5703125" style="51" customWidth="1"/>
    <col min="72" max="72" width="18.85546875" style="51" customWidth="1"/>
    <col min="73" max="73" width="15.7109375" style="51" customWidth="1"/>
    <col min="74" max="74" width="19.85546875" style="51" customWidth="1"/>
    <col min="75" max="75" width="14.7109375" style="51" customWidth="1"/>
    <col min="76" max="76" width="8.140625" style="2" customWidth="1"/>
    <col min="77" max="77" width="9.85546875" style="50" customWidth="1"/>
    <col min="78" max="78" width="8.140625" style="50" customWidth="1"/>
    <col min="79" max="79" width="9.140625" style="1"/>
    <col min="80" max="16384" width="9.140625" style="2"/>
  </cols>
  <sheetData>
    <row r="1" spans="1:79" ht="19.5" customHeight="1" thickBot="1" x14ac:dyDescent="0.3"/>
    <row r="2" spans="1:79" ht="33" customHeight="1" thickBot="1" x14ac:dyDescent="0.3">
      <c r="A2" s="3"/>
      <c r="B2" s="53" t="s">
        <v>178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5"/>
      <c r="AO2" s="50"/>
      <c r="AP2" s="50"/>
      <c r="AQ2" s="1"/>
      <c r="BR2" s="2"/>
      <c r="BS2" s="2"/>
      <c r="BT2" s="2"/>
      <c r="BU2" s="2"/>
      <c r="BV2" s="2"/>
      <c r="BW2" s="2"/>
      <c r="BY2" s="2"/>
      <c r="BZ2" s="2"/>
      <c r="CA2" s="2"/>
    </row>
    <row r="3" spans="1:79" ht="21.75" customHeight="1" thickBot="1" x14ac:dyDescent="0.3">
      <c r="A3" s="3"/>
      <c r="B3" s="32"/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3"/>
      <c r="AI3" s="33"/>
      <c r="AJ3" s="33"/>
      <c r="AK3" s="33"/>
      <c r="AL3" s="33"/>
      <c r="AM3" s="52" t="s">
        <v>167</v>
      </c>
      <c r="AO3" s="50"/>
      <c r="AP3" s="50"/>
      <c r="AQ3" s="1"/>
      <c r="BR3" s="2"/>
      <c r="BS3" s="2"/>
      <c r="BT3" s="2"/>
      <c r="BU3" s="2"/>
      <c r="BV3" s="2"/>
      <c r="BW3" s="2"/>
      <c r="BY3" s="2"/>
      <c r="BZ3" s="2"/>
      <c r="CA3" s="2"/>
    </row>
    <row r="4" spans="1:79" ht="27.75" customHeight="1" thickBot="1" x14ac:dyDescent="0.3">
      <c r="A4" s="3"/>
      <c r="B4" s="81" t="s">
        <v>174</v>
      </c>
      <c r="C4" s="83" t="s">
        <v>175</v>
      </c>
      <c r="D4" s="69">
        <v>2019</v>
      </c>
      <c r="E4" s="70"/>
      <c r="F4" s="70"/>
      <c r="G4" s="70"/>
      <c r="H4" s="70"/>
      <c r="I4" s="70"/>
      <c r="J4" s="64">
        <v>2020</v>
      </c>
      <c r="K4" s="65"/>
      <c r="L4" s="65"/>
      <c r="M4" s="65"/>
      <c r="N4" s="65"/>
      <c r="O4" s="66"/>
      <c r="P4" s="73">
        <v>2021</v>
      </c>
      <c r="Q4" s="73"/>
      <c r="R4" s="73"/>
      <c r="S4" s="73"/>
      <c r="T4" s="73"/>
      <c r="U4" s="74"/>
      <c r="V4" s="70">
        <v>2022</v>
      </c>
      <c r="W4" s="70"/>
      <c r="X4" s="70"/>
      <c r="Y4" s="70"/>
      <c r="Z4" s="70"/>
      <c r="AA4" s="71"/>
      <c r="AB4" s="64">
        <v>2023</v>
      </c>
      <c r="AC4" s="65"/>
      <c r="AD4" s="65"/>
      <c r="AE4" s="65"/>
      <c r="AF4" s="65"/>
      <c r="AG4" s="66"/>
      <c r="AH4" s="64">
        <v>2024</v>
      </c>
      <c r="AI4" s="65"/>
      <c r="AJ4" s="65"/>
      <c r="AK4" s="65"/>
      <c r="AL4" s="65"/>
      <c r="AM4" s="66"/>
      <c r="AO4" s="50"/>
      <c r="AP4" s="50"/>
      <c r="AQ4" s="1"/>
      <c r="BR4" s="2"/>
      <c r="BS4" s="2"/>
      <c r="BT4" s="2"/>
      <c r="BU4" s="2"/>
      <c r="BV4" s="2"/>
      <c r="BW4" s="2"/>
      <c r="BY4" s="2"/>
      <c r="BZ4" s="2"/>
      <c r="CA4" s="2"/>
    </row>
    <row r="5" spans="1:79" ht="33.75" customHeight="1" x14ac:dyDescent="0.25">
      <c r="A5" s="3"/>
      <c r="B5" s="81"/>
      <c r="C5" s="83"/>
      <c r="D5" s="67" t="s">
        <v>165</v>
      </c>
      <c r="E5" s="68"/>
      <c r="F5" s="62" t="s">
        <v>170</v>
      </c>
      <c r="G5" s="62" t="s">
        <v>171</v>
      </c>
      <c r="H5" s="62" t="s">
        <v>172</v>
      </c>
      <c r="I5" s="60" t="s">
        <v>173</v>
      </c>
      <c r="J5" s="67" t="s">
        <v>165</v>
      </c>
      <c r="K5" s="68"/>
      <c r="L5" s="62" t="s">
        <v>170</v>
      </c>
      <c r="M5" s="62" t="s">
        <v>171</v>
      </c>
      <c r="N5" s="62" t="s">
        <v>172</v>
      </c>
      <c r="O5" s="60" t="s">
        <v>173</v>
      </c>
      <c r="P5" s="75" t="s">
        <v>165</v>
      </c>
      <c r="Q5" s="76"/>
      <c r="R5" s="77" t="s">
        <v>170</v>
      </c>
      <c r="S5" s="77" t="s">
        <v>171</v>
      </c>
      <c r="T5" s="77" t="s">
        <v>172</v>
      </c>
      <c r="U5" s="79" t="s">
        <v>173</v>
      </c>
      <c r="V5" s="67" t="s">
        <v>165</v>
      </c>
      <c r="W5" s="68"/>
      <c r="X5" s="62" t="s">
        <v>170</v>
      </c>
      <c r="Y5" s="62" t="s">
        <v>171</v>
      </c>
      <c r="Z5" s="62" t="s">
        <v>172</v>
      </c>
      <c r="AA5" s="60" t="s">
        <v>173</v>
      </c>
      <c r="AB5" s="67" t="s">
        <v>165</v>
      </c>
      <c r="AC5" s="68"/>
      <c r="AD5" s="62" t="s">
        <v>170</v>
      </c>
      <c r="AE5" s="62" t="s">
        <v>171</v>
      </c>
      <c r="AF5" s="62" t="s">
        <v>172</v>
      </c>
      <c r="AG5" s="60" t="s">
        <v>173</v>
      </c>
      <c r="AH5" s="67" t="s">
        <v>165</v>
      </c>
      <c r="AI5" s="68"/>
      <c r="AJ5" s="62" t="s">
        <v>170</v>
      </c>
      <c r="AK5" s="62" t="s">
        <v>171</v>
      </c>
      <c r="AL5" s="62" t="s">
        <v>172</v>
      </c>
      <c r="AM5" s="60" t="s">
        <v>173</v>
      </c>
      <c r="AO5" s="50"/>
      <c r="AP5" s="50"/>
      <c r="AQ5" s="1"/>
      <c r="BR5" s="2"/>
      <c r="BS5" s="2"/>
      <c r="BT5" s="2"/>
      <c r="BU5" s="2"/>
      <c r="BV5" s="2"/>
      <c r="BW5" s="2"/>
      <c r="BY5" s="2"/>
      <c r="BZ5" s="2"/>
      <c r="CA5" s="2"/>
    </row>
    <row r="6" spans="1:79" ht="51" customHeight="1" thickBot="1" x14ac:dyDescent="0.3">
      <c r="A6" s="3"/>
      <c r="B6" s="82"/>
      <c r="C6" s="84"/>
      <c r="D6" s="4" t="s">
        <v>168</v>
      </c>
      <c r="E6" s="5" t="s">
        <v>169</v>
      </c>
      <c r="F6" s="63"/>
      <c r="G6" s="63"/>
      <c r="H6" s="63"/>
      <c r="I6" s="61"/>
      <c r="J6" s="4" t="s">
        <v>168</v>
      </c>
      <c r="K6" s="5" t="s">
        <v>169</v>
      </c>
      <c r="L6" s="63"/>
      <c r="M6" s="63"/>
      <c r="N6" s="63"/>
      <c r="O6" s="61"/>
      <c r="P6" s="35" t="s">
        <v>168</v>
      </c>
      <c r="Q6" s="36" t="s">
        <v>169</v>
      </c>
      <c r="R6" s="78"/>
      <c r="S6" s="78"/>
      <c r="T6" s="78"/>
      <c r="U6" s="80"/>
      <c r="V6" s="4" t="s">
        <v>168</v>
      </c>
      <c r="W6" s="5" t="s">
        <v>169</v>
      </c>
      <c r="X6" s="63"/>
      <c r="Y6" s="63"/>
      <c r="Z6" s="63"/>
      <c r="AA6" s="61"/>
      <c r="AB6" s="4" t="s">
        <v>168</v>
      </c>
      <c r="AC6" s="5" t="s">
        <v>169</v>
      </c>
      <c r="AD6" s="63"/>
      <c r="AE6" s="63"/>
      <c r="AF6" s="63"/>
      <c r="AG6" s="61"/>
      <c r="AH6" s="4" t="s">
        <v>168</v>
      </c>
      <c r="AI6" s="5" t="s">
        <v>169</v>
      </c>
      <c r="AJ6" s="63"/>
      <c r="AK6" s="63"/>
      <c r="AL6" s="63"/>
      <c r="AM6" s="61"/>
      <c r="AO6" s="50"/>
      <c r="AP6" s="50"/>
      <c r="AQ6" s="1"/>
      <c r="BR6" s="2"/>
      <c r="BS6" s="2"/>
      <c r="BT6" s="2"/>
      <c r="BU6" s="2"/>
      <c r="BV6" s="2"/>
      <c r="BW6" s="2"/>
      <c r="BY6" s="2"/>
      <c r="BZ6" s="2"/>
      <c r="CA6" s="2"/>
    </row>
    <row r="7" spans="1:79" ht="16.5" thickBot="1" x14ac:dyDescent="0.3">
      <c r="A7" s="3"/>
      <c r="B7" s="9" t="s">
        <v>0</v>
      </c>
      <c r="C7" s="8" t="s">
        <v>1</v>
      </c>
      <c r="D7" s="10">
        <v>151901.89376675859</v>
      </c>
      <c r="E7" s="10">
        <v>261944.75197708103</v>
      </c>
      <c r="F7" s="10">
        <v>3282606.4335255343</v>
      </c>
      <c r="G7" s="10">
        <v>21644.768332520707</v>
      </c>
      <c r="H7" s="10">
        <v>634429.15239810525</v>
      </c>
      <c r="I7" s="11">
        <v>4352527</v>
      </c>
      <c r="J7" s="10">
        <v>58365.003927140409</v>
      </c>
      <c r="K7" s="10">
        <v>237326.77192176908</v>
      </c>
      <c r="L7" s="10">
        <v>3450996.6343514328</v>
      </c>
      <c r="M7" s="10">
        <v>21632.727213185764</v>
      </c>
      <c r="N7" s="10">
        <v>634802.86258647195</v>
      </c>
      <c r="O7" s="11">
        <v>4403124</v>
      </c>
      <c r="P7" s="37">
        <v>51828.6801059688</v>
      </c>
      <c r="Q7" s="37">
        <v>210715.77595684343</v>
      </c>
      <c r="R7" s="37">
        <v>3634518.1257104403</v>
      </c>
      <c r="S7" s="37">
        <v>21950.742709555569</v>
      </c>
      <c r="T7" s="37">
        <v>644400.67551719164</v>
      </c>
      <c r="U7" s="38">
        <v>4563414</v>
      </c>
      <c r="V7" s="10">
        <v>47350.562039128679</v>
      </c>
      <c r="W7" s="10">
        <v>175004.93195684938</v>
      </c>
      <c r="X7" s="10">
        <v>3768870.8081223886</v>
      </c>
      <c r="Y7" s="10">
        <v>22283.619041567214</v>
      </c>
      <c r="Z7" s="10">
        <v>655197.07884006598</v>
      </c>
      <c r="AA7" s="11">
        <v>4668707</v>
      </c>
      <c r="AB7" s="10">
        <v>56800.152819152769</v>
      </c>
      <c r="AC7" s="10">
        <v>173120.97313647685</v>
      </c>
      <c r="AD7" s="10">
        <v>3895221.8955707289</v>
      </c>
      <c r="AE7" s="10">
        <v>22867.646360742252</v>
      </c>
      <c r="AF7" s="10">
        <v>662695.33211289905</v>
      </c>
      <c r="AG7" s="11">
        <v>4810706</v>
      </c>
      <c r="AH7" s="10">
        <f>SUM(AH8:AH88)</f>
        <v>115820</v>
      </c>
      <c r="AI7" s="10">
        <f t="shared" ref="AI7:AM7" si="0">SUM(AI8:AI88)</f>
        <v>150671</v>
      </c>
      <c r="AJ7" s="10">
        <f t="shared" si="0"/>
        <v>3964995</v>
      </c>
      <c r="AK7" s="10">
        <f t="shared" si="0"/>
        <v>22832</v>
      </c>
      <c r="AL7" s="10">
        <f t="shared" si="0"/>
        <v>659504</v>
      </c>
      <c r="AM7" s="11">
        <f t="shared" si="0"/>
        <v>4913822</v>
      </c>
      <c r="AO7" s="50"/>
      <c r="AP7" s="50"/>
      <c r="AQ7" s="1"/>
      <c r="BR7" s="2"/>
      <c r="BS7" s="2"/>
      <c r="BT7" s="2"/>
      <c r="BU7" s="2"/>
      <c r="BV7" s="2"/>
      <c r="BW7" s="2"/>
      <c r="BY7" s="2"/>
      <c r="BZ7" s="2"/>
      <c r="CA7" s="2"/>
    </row>
    <row r="8" spans="1:79" s="15" customFormat="1" ht="15.75" x14ac:dyDescent="0.25">
      <c r="A8" s="12"/>
      <c r="B8" s="13" t="s">
        <v>2</v>
      </c>
      <c r="C8" s="14" t="s">
        <v>3</v>
      </c>
      <c r="D8" s="26">
        <v>0</v>
      </c>
      <c r="E8" s="25">
        <v>0</v>
      </c>
      <c r="F8" s="25">
        <v>0</v>
      </c>
      <c r="G8" s="25">
        <v>57.321950033158657</v>
      </c>
      <c r="H8" s="25">
        <v>0</v>
      </c>
      <c r="I8" s="27">
        <v>57.321950033158657</v>
      </c>
      <c r="J8" s="26">
        <v>0</v>
      </c>
      <c r="K8" s="25">
        <v>0</v>
      </c>
      <c r="L8" s="25">
        <v>0</v>
      </c>
      <c r="M8" s="25">
        <v>57.219345476597866</v>
      </c>
      <c r="N8" s="25">
        <v>0</v>
      </c>
      <c r="O8" s="27">
        <v>57.219345476597866</v>
      </c>
      <c r="P8" s="39">
        <v>0</v>
      </c>
      <c r="Q8" s="40">
        <v>0</v>
      </c>
      <c r="R8" s="40">
        <v>0</v>
      </c>
      <c r="S8" s="40">
        <v>58.060507960383276</v>
      </c>
      <c r="T8" s="40">
        <v>0</v>
      </c>
      <c r="U8" s="41">
        <v>58.060507960383276</v>
      </c>
      <c r="V8" s="26">
        <v>0</v>
      </c>
      <c r="W8" s="25">
        <v>0</v>
      </c>
      <c r="X8" s="25">
        <v>0</v>
      </c>
      <c r="Y8" s="25">
        <v>58.940977891643129</v>
      </c>
      <c r="Z8" s="25">
        <v>0</v>
      </c>
      <c r="AA8" s="27">
        <v>58.940977891643129</v>
      </c>
      <c r="AB8" s="26">
        <v>0</v>
      </c>
      <c r="AC8" s="25">
        <v>0</v>
      </c>
      <c r="AD8" s="25">
        <v>0</v>
      </c>
      <c r="AE8" s="25">
        <v>60.485751262763841</v>
      </c>
      <c r="AF8" s="25">
        <v>0</v>
      </c>
      <c r="AG8" s="27">
        <v>60.485751262763841</v>
      </c>
      <c r="AH8" s="26">
        <v>0</v>
      </c>
      <c r="AI8" s="25">
        <v>0</v>
      </c>
      <c r="AJ8" s="25">
        <v>0</v>
      </c>
      <c r="AK8" s="25">
        <v>50</v>
      </c>
      <c r="AL8" s="25">
        <v>0</v>
      </c>
      <c r="AM8" s="27">
        <v>50</v>
      </c>
      <c r="AO8" s="57">
        <f>+AM8-AG8</f>
        <v>-10.485751262763841</v>
      </c>
      <c r="AP8" s="50"/>
      <c r="AQ8" s="1"/>
    </row>
    <row r="9" spans="1:79" s="15" customFormat="1" ht="15.75" x14ac:dyDescent="0.25">
      <c r="A9" s="12"/>
      <c r="B9" s="16" t="s">
        <v>4</v>
      </c>
      <c r="C9" s="17" t="s">
        <v>5</v>
      </c>
      <c r="D9" s="28">
        <v>0</v>
      </c>
      <c r="E9" s="22">
        <v>974.47315056369712</v>
      </c>
      <c r="F9" s="22">
        <v>12289.826087109215</v>
      </c>
      <c r="G9" s="22">
        <v>59.869592256854595</v>
      </c>
      <c r="H9" s="22">
        <v>3197.2909907384051</v>
      </c>
      <c r="I9" s="23">
        <v>16521.459820668173</v>
      </c>
      <c r="J9" s="28">
        <v>0</v>
      </c>
      <c r="K9" s="22">
        <v>972.72887310216367</v>
      </c>
      <c r="L9" s="22">
        <v>12267.827670182582</v>
      </c>
      <c r="M9" s="22">
        <v>59.762427497779989</v>
      </c>
      <c r="N9" s="22">
        <v>3191.5679365835695</v>
      </c>
      <c r="O9" s="23">
        <v>16491.886907366097</v>
      </c>
      <c r="P9" s="42">
        <v>0</v>
      </c>
      <c r="Q9" s="43">
        <v>864.45645185459534</v>
      </c>
      <c r="R9" s="43">
        <v>12448.172906706173</v>
      </c>
      <c r="S9" s="43">
        <v>60.640974980844753</v>
      </c>
      <c r="T9" s="43">
        <v>3319.7708218236926</v>
      </c>
      <c r="U9" s="44">
        <v>16693.041155365307</v>
      </c>
      <c r="V9" s="28">
        <v>0</v>
      </c>
      <c r="W9" s="22">
        <v>877.565670831131</v>
      </c>
      <c r="X9" s="22">
        <v>12636.945659968287</v>
      </c>
      <c r="Y9" s="22">
        <v>61.560576909049487</v>
      </c>
      <c r="Z9" s="22">
        <v>3370.1141358932837</v>
      </c>
      <c r="AA9" s="23">
        <v>16946.186043601752</v>
      </c>
      <c r="AB9" s="28">
        <v>0</v>
      </c>
      <c r="AC9" s="22">
        <v>900.56562991226167</v>
      </c>
      <c r="AD9" s="22">
        <v>12968.145070736568</v>
      </c>
      <c r="AE9" s="22">
        <v>63.174006874442242</v>
      </c>
      <c r="AF9" s="22">
        <v>3440.9671829483432</v>
      </c>
      <c r="AG9" s="23">
        <v>17372.851890471615</v>
      </c>
      <c r="AH9" s="28">
        <v>0</v>
      </c>
      <c r="AI9" s="22">
        <v>899</v>
      </c>
      <c r="AJ9" s="22">
        <v>12948</v>
      </c>
      <c r="AK9" s="22">
        <v>63</v>
      </c>
      <c r="AL9" s="22">
        <v>3436</v>
      </c>
      <c r="AM9" s="23">
        <v>17346</v>
      </c>
      <c r="AO9" s="57">
        <f t="shared" ref="AO9:AO72" si="1">+AM9-AG9</f>
        <v>-26.851890471614752</v>
      </c>
      <c r="AP9" s="50" t="s">
        <v>176</v>
      </c>
      <c r="AQ9" s="1"/>
    </row>
    <row r="10" spans="1:79" s="15" customFormat="1" ht="15.75" x14ac:dyDescent="0.25">
      <c r="A10" s="12"/>
      <c r="B10" s="16" t="s">
        <v>6</v>
      </c>
      <c r="C10" s="17" t="s">
        <v>7</v>
      </c>
      <c r="D10" s="28">
        <v>0</v>
      </c>
      <c r="E10" s="22">
        <v>3025.325140638929</v>
      </c>
      <c r="F10" s="22">
        <v>59664.50705784707</v>
      </c>
      <c r="G10" s="22">
        <v>0</v>
      </c>
      <c r="H10" s="22">
        <v>19021.970663225737</v>
      </c>
      <c r="I10" s="23">
        <v>81711.802861711738</v>
      </c>
      <c r="J10" s="28">
        <v>0</v>
      </c>
      <c r="K10" s="22">
        <v>1073.1806129388576</v>
      </c>
      <c r="L10" s="22">
        <v>61556.571863723977</v>
      </c>
      <c r="M10" s="22">
        <v>0</v>
      </c>
      <c r="N10" s="22">
        <v>18987.921911156354</v>
      </c>
      <c r="O10" s="23">
        <v>81617.674387819192</v>
      </c>
      <c r="P10" s="42">
        <v>0</v>
      </c>
      <c r="Q10" s="43">
        <v>837.36154813974986</v>
      </c>
      <c r="R10" s="43">
        <v>64021.386777649292</v>
      </c>
      <c r="S10" s="43">
        <v>0</v>
      </c>
      <c r="T10" s="43">
        <v>18739.35150259126</v>
      </c>
      <c r="U10" s="44">
        <v>83598.099828380306</v>
      </c>
      <c r="V10" s="28">
        <v>0</v>
      </c>
      <c r="W10" s="22">
        <v>850.05988114836418</v>
      </c>
      <c r="X10" s="22">
        <v>64992.251621851821</v>
      </c>
      <c r="Y10" s="22">
        <v>0</v>
      </c>
      <c r="Z10" s="22">
        <v>19023.528064404996</v>
      </c>
      <c r="AA10" s="23">
        <v>84865.839567405172</v>
      </c>
      <c r="AB10" s="28">
        <v>0</v>
      </c>
      <c r="AC10" s="22">
        <v>872.33894598963855</v>
      </c>
      <c r="AD10" s="22">
        <v>66695.62172574093</v>
      </c>
      <c r="AE10" s="22">
        <v>0</v>
      </c>
      <c r="AF10" s="22">
        <v>19579.909747659578</v>
      </c>
      <c r="AG10" s="23">
        <v>87147.87041939015</v>
      </c>
      <c r="AH10" s="28">
        <v>0</v>
      </c>
      <c r="AI10" s="22">
        <v>871</v>
      </c>
      <c r="AJ10" s="22">
        <v>66750</v>
      </c>
      <c r="AK10" s="22">
        <v>0</v>
      </c>
      <c r="AL10" s="22">
        <v>19549</v>
      </c>
      <c r="AM10" s="23">
        <v>87170</v>
      </c>
      <c r="AO10" s="57">
        <f t="shared" si="1"/>
        <v>22.129580609849654</v>
      </c>
      <c r="AP10" s="50"/>
      <c r="AQ10" s="1"/>
    </row>
    <row r="11" spans="1:79" s="15" customFormat="1" ht="15.75" x14ac:dyDescent="0.25">
      <c r="A11" s="12"/>
      <c r="B11" s="16" t="s">
        <v>8</v>
      </c>
      <c r="C11" s="17" t="s">
        <v>9</v>
      </c>
      <c r="D11" s="28">
        <v>0</v>
      </c>
      <c r="E11" s="22">
        <v>385.96779688993496</v>
      </c>
      <c r="F11" s="22">
        <v>34318.014574296161</v>
      </c>
      <c r="G11" s="22">
        <v>1299.2975340849296</v>
      </c>
      <c r="H11" s="22">
        <v>7217.4704197305982</v>
      </c>
      <c r="I11" s="23">
        <v>43220.750325001623</v>
      </c>
      <c r="J11" s="28">
        <v>0</v>
      </c>
      <c r="K11" s="22">
        <v>429.78086157977953</v>
      </c>
      <c r="L11" s="22">
        <v>34785.547426739729</v>
      </c>
      <c r="M11" s="22">
        <v>1296.9718308028848</v>
      </c>
      <c r="N11" s="22">
        <v>7204.5513660089664</v>
      </c>
      <c r="O11" s="23">
        <v>43716.851485131352</v>
      </c>
      <c r="P11" s="42">
        <v>0</v>
      </c>
      <c r="Q11" s="43">
        <v>436.09892645798993</v>
      </c>
      <c r="R11" s="43">
        <v>35296.918139382338</v>
      </c>
      <c r="S11" s="43">
        <v>1316.0381804353542</v>
      </c>
      <c r="T11" s="43">
        <v>7323.3654040696765</v>
      </c>
      <c r="U11" s="44">
        <v>44372.420650345361</v>
      </c>
      <c r="V11" s="28">
        <v>0</v>
      </c>
      <c r="W11" s="22">
        <v>442.71223394167504</v>
      </c>
      <c r="X11" s="22">
        <v>39001.899970654609</v>
      </c>
      <c r="Y11" s="22">
        <v>1335.9954988772442</v>
      </c>
      <c r="Z11" s="22">
        <v>7434.4220113992533</v>
      </c>
      <c r="AA11" s="23">
        <v>48215.029714872784</v>
      </c>
      <c r="AB11" s="28">
        <v>0</v>
      </c>
      <c r="AC11" s="22">
        <v>454.31519837364846</v>
      </c>
      <c r="AD11" s="22">
        <v>40024.093674473756</v>
      </c>
      <c r="AE11" s="22">
        <v>1371.0103619559804</v>
      </c>
      <c r="AF11" s="22">
        <v>7650.7754708367065</v>
      </c>
      <c r="AG11" s="23">
        <v>49500.19470564009</v>
      </c>
      <c r="AH11" s="28">
        <v>0</v>
      </c>
      <c r="AI11" s="22">
        <v>454</v>
      </c>
      <c r="AJ11" s="22">
        <v>39962</v>
      </c>
      <c r="AK11" s="22">
        <v>1369</v>
      </c>
      <c r="AL11" s="22">
        <v>7639</v>
      </c>
      <c r="AM11" s="23">
        <v>49424</v>
      </c>
      <c r="AO11" s="57">
        <f t="shared" si="1"/>
        <v>-76.194705640089524</v>
      </c>
      <c r="AP11" s="50"/>
      <c r="AQ11" s="1"/>
    </row>
    <row r="12" spans="1:79" s="15" customFormat="1" ht="15.75" x14ac:dyDescent="0.25">
      <c r="A12" s="12"/>
      <c r="B12" s="16" t="s">
        <v>10</v>
      </c>
      <c r="C12" s="17" t="s">
        <v>11</v>
      </c>
      <c r="D12" s="28">
        <v>5389.5371242287611</v>
      </c>
      <c r="E12" s="22">
        <v>1754.0516710146549</v>
      </c>
      <c r="F12" s="22">
        <v>86675.883734583273</v>
      </c>
      <c r="G12" s="22">
        <v>306.99088795536079</v>
      </c>
      <c r="H12" s="22">
        <v>7891.321787898175</v>
      </c>
      <c r="I12" s="23">
        <v>102017.78520568022</v>
      </c>
      <c r="J12" s="28">
        <v>929.49647874206755</v>
      </c>
      <c r="K12" s="22">
        <v>1124.0422533625003</v>
      </c>
      <c r="L12" s="22">
        <v>92691.525049056771</v>
      </c>
      <c r="M12" s="22">
        <v>306.44138355244633</v>
      </c>
      <c r="N12" s="22">
        <v>7877.1965606116391</v>
      </c>
      <c r="O12" s="23">
        <v>102928.70172532543</v>
      </c>
      <c r="P12" s="42">
        <v>1517.3146080313495</v>
      </c>
      <c r="Q12" s="43">
        <v>1263.1386065158938</v>
      </c>
      <c r="R12" s="43">
        <v>98286.118108847033</v>
      </c>
      <c r="S12" s="43">
        <v>310.94627596560821</v>
      </c>
      <c r="T12" s="43">
        <v>7992.996595879431</v>
      </c>
      <c r="U12" s="44">
        <v>109370.51419523932</v>
      </c>
      <c r="V12" s="28">
        <v>1540.3242222349404</v>
      </c>
      <c r="W12" s="22">
        <v>1282.2937190204138</v>
      </c>
      <c r="X12" s="22">
        <v>101488.50513235724</v>
      </c>
      <c r="Y12" s="22">
        <v>315.66168159746655</v>
      </c>
      <c r="Z12" s="22">
        <v>8114.2079564162041</v>
      </c>
      <c r="AA12" s="23">
        <v>112740.99271162627</v>
      </c>
      <c r="AB12" s="28">
        <v>1580.6942996668952</v>
      </c>
      <c r="AC12" s="22">
        <v>719.10837612397017</v>
      </c>
      <c r="AD12" s="22">
        <v>108606.87083961292</v>
      </c>
      <c r="AE12" s="22">
        <v>323.93480120724638</v>
      </c>
      <c r="AF12" s="22">
        <v>8326.8717571738234</v>
      </c>
      <c r="AG12" s="23">
        <v>119557.48007378486</v>
      </c>
      <c r="AH12" s="28">
        <v>0</v>
      </c>
      <c r="AI12" s="22">
        <v>3211</v>
      </c>
      <c r="AJ12" s="22">
        <v>109626</v>
      </c>
      <c r="AK12" s="22">
        <v>324</v>
      </c>
      <c r="AL12" s="22">
        <v>8233</v>
      </c>
      <c r="AM12" s="23">
        <v>121394</v>
      </c>
      <c r="AO12" s="57">
        <f t="shared" si="1"/>
        <v>1836.5199262151436</v>
      </c>
      <c r="AP12" s="50"/>
      <c r="AQ12" s="1"/>
    </row>
    <row r="13" spans="1:79" s="15" customFormat="1" ht="15.75" x14ac:dyDescent="0.25">
      <c r="A13" s="12"/>
      <c r="B13" s="16" t="s">
        <v>12</v>
      </c>
      <c r="C13" s="17" t="s">
        <v>13</v>
      </c>
      <c r="D13" s="28">
        <v>636.91055592398504</v>
      </c>
      <c r="E13" s="22">
        <v>9584.2300455441273</v>
      </c>
      <c r="F13" s="22">
        <v>52715.812892716393</v>
      </c>
      <c r="G13" s="22">
        <v>0</v>
      </c>
      <c r="H13" s="22">
        <v>687.86340039790389</v>
      </c>
      <c r="I13" s="23">
        <v>63624.816894582407</v>
      </c>
      <c r="J13" s="28">
        <v>635.77050529553185</v>
      </c>
      <c r="K13" s="22">
        <v>5261.6367018258215</v>
      </c>
      <c r="L13" s="22">
        <v>56174.138765892007</v>
      </c>
      <c r="M13" s="22">
        <v>0</v>
      </c>
      <c r="N13" s="22">
        <v>686.63214571917433</v>
      </c>
      <c r="O13" s="23">
        <v>62758.178118732532</v>
      </c>
      <c r="P13" s="42">
        <v>645.11675511536976</v>
      </c>
      <c r="Q13" s="43">
        <v>5338.9862653348</v>
      </c>
      <c r="R13" s="43">
        <v>56999.936014973602</v>
      </c>
      <c r="S13" s="43">
        <v>0</v>
      </c>
      <c r="T13" s="43">
        <v>696.72609552459926</v>
      </c>
      <c r="U13" s="44">
        <v>63680.765130948377</v>
      </c>
      <c r="V13" s="28">
        <v>654.89975435159033</v>
      </c>
      <c r="W13" s="22">
        <v>6187.4928791138254</v>
      </c>
      <c r="X13" s="22">
        <v>58225.827359891191</v>
      </c>
      <c r="Y13" s="22">
        <v>0</v>
      </c>
      <c r="Z13" s="22">
        <v>707.29173469971749</v>
      </c>
      <c r="AA13" s="23">
        <v>65775.511728056328</v>
      </c>
      <c r="AB13" s="28">
        <v>1881.7789281748751</v>
      </c>
      <c r="AC13" s="22">
        <v>6349.6597547843648</v>
      </c>
      <c r="AD13" s="22">
        <v>60423.92138369524</v>
      </c>
      <c r="AE13" s="22">
        <v>0</v>
      </c>
      <c r="AF13" s="22">
        <v>725.8290151531661</v>
      </c>
      <c r="AG13" s="23">
        <v>69381.18908180765</v>
      </c>
      <c r="AH13" s="28">
        <v>7918</v>
      </c>
      <c r="AI13" s="22">
        <v>4584</v>
      </c>
      <c r="AJ13" s="22">
        <v>63015</v>
      </c>
      <c r="AK13" s="22">
        <v>0</v>
      </c>
      <c r="AL13" s="22">
        <v>0</v>
      </c>
      <c r="AM13" s="23">
        <v>75517</v>
      </c>
      <c r="AO13" s="57">
        <f t="shared" si="1"/>
        <v>6135.8109181923501</v>
      </c>
      <c r="AP13" s="50"/>
      <c r="AQ13" s="1"/>
    </row>
    <row r="14" spans="1:79" s="15" customFormat="1" ht="15.75" x14ac:dyDescent="0.25">
      <c r="A14" s="12"/>
      <c r="B14" s="16" t="s">
        <v>14</v>
      </c>
      <c r="C14" s="17" t="s">
        <v>15</v>
      </c>
      <c r="D14" s="28">
        <v>0</v>
      </c>
      <c r="E14" s="22">
        <v>971.92550834000122</v>
      </c>
      <c r="F14" s="22">
        <v>84036.526390834289</v>
      </c>
      <c r="G14" s="22">
        <v>0</v>
      </c>
      <c r="H14" s="22">
        <v>16312.553158325105</v>
      </c>
      <c r="I14" s="23">
        <v>101321.00505749939</v>
      </c>
      <c r="J14" s="28">
        <v>0</v>
      </c>
      <c r="K14" s="22">
        <v>1018.504349483442</v>
      </c>
      <c r="L14" s="22">
        <v>84042.503095016349</v>
      </c>
      <c r="M14" s="22">
        <v>0</v>
      </c>
      <c r="N14" s="22">
        <v>16283.35418162916</v>
      </c>
      <c r="O14" s="23">
        <v>101344.36162612894</v>
      </c>
      <c r="P14" s="42">
        <v>0</v>
      </c>
      <c r="Q14" s="43">
        <v>794.78384230213544</v>
      </c>
      <c r="R14" s="43">
        <v>83345.214060375074</v>
      </c>
      <c r="S14" s="43">
        <v>0</v>
      </c>
      <c r="T14" s="43">
        <v>16522.730332014849</v>
      </c>
      <c r="U14" s="44">
        <v>100662.72823469205</v>
      </c>
      <c r="V14" s="28">
        <v>0</v>
      </c>
      <c r="W14" s="22">
        <v>673.23694747343484</v>
      </c>
      <c r="X14" s="22">
        <v>84742.718413587078</v>
      </c>
      <c r="Y14" s="22">
        <v>0</v>
      </c>
      <c r="Z14" s="22">
        <v>16773.292508452931</v>
      </c>
      <c r="AA14" s="23">
        <v>102189.24786951343</v>
      </c>
      <c r="AB14" s="28">
        <v>0</v>
      </c>
      <c r="AC14" s="22">
        <v>489.26252132546756</v>
      </c>
      <c r="AD14" s="22">
        <v>87404.598830305433</v>
      </c>
      <c r="AE14" s="22">
        <v>0</v>
      </c>
      <c r="AF14" s="22">
        <v>17212.90068157675</v>
      </c>
      <c r="AG14" s="23">
        <v>105106.76203320765</v>
      </c>
      <c r="AH14" s="28">
        <v>1805</v>
      </c>
      <c r="AI14" s="22">
        <v>558</v>
      </c>
      <c r="AJ14" s="22">
        <v>88523</v>
      </c>
      <c r="AK14" s="22">
        <v>0</v>
      </c>
      <c r="AL14" s="22">
        <v>17186</v>
      </c>
      <c r="AM14" s="23">
        <v>108072</v>
      </c>
      <c r="AO14" s="57">
        <f t="shared" si="1"/>
        <v>2965.2379667923524</v>
      </c>
      <c r="AP14" s="50"/>
      <c r="AQ14" s="1"/>
    </row>
    <row r="15" spans="1:79" s="15" customFormat="1" ht="15.75" x14ac:dyDescent="0.25">
      <c r="A15" s="12"/>
      <c r="B15" s="16" t="s">
        <v>16</v>
      </c>
      <c r="C15" s="17" t="s">
        <v>17</v>
      </c>
      <c r="D15" s="28">
        <v>0</v>
      </c>
      <c r="E15" s="22">
        <v>0</v>
      </c>
      <c r="F15" s="22">
        <v>123210.34704349491</v>
      </c>
      <c r="G15" s="22">
        <v>0</v>
      </c>
      <c r="H15" s="22">
        <v>2919.5979883555474</v>
      </c>
      <c r="I15" s="23">
        <v>126129.94503185045</v>
      </c>
      <c r="J15" s="28">
        <v>0</v>
      </c>
      <c r="K15" s="22">
        <v>0</v>
      </c>
      <c r="L15" s="22">
        <v>123241.56936951766</v>
      </c>
      <c r="M15" s="22">
        <v>0</v>
      </c>
      <c r="N15" s="22">
        <v>2914.3719962747177</v>
      </c>
      <c r="O15" s="23">
        <v>126155.94136579237</v>
      </c>
      <c r="P15" s="42">
        <v>0</v>
      </c>
      <c r="Q15" s="43">
        <v>0</v>
      </c>
      <c r="R15" s="43">
        <v>125246.83753862856</v>
      </c>
      <c r="S15" s="43">
        <v>0</v>
      </c>
      <c r="T15" s="43">
        <v>2957.2152054488547</v>
      </c>
      <c r="U15" s="44">
        <v>128204.05274407742</v>
      </c>
      <c r="V15" s="28">
        <v>0</v>
      </c>
      <c r="W15" s="22">
        <v>0</v>
      </c>
      <c r="X15" s="22">
        <v>126431.01717659192</v>
      </c>
      <c r="Y15" s="22">
        <v>0</v>
      </c>
      <c r="Z15" s="22">
        <v>3002.0604739476898</v>
      </c>
      <c r="AA15" s="23">
        <v>129433.07765053961</v>
      </c>
      <c r="AB15" s="28">
        <v>0</v>
      </c>
      <c r="AC15" s="22">
        <v>0</v>
      </c>
      <c r="AD15" s="22">
        <v>129919.36132899922</v>
      </c>
      <c r="AE15" s="22">
        <v>0</v>
      </c>
      <c r="AF15" s="22">
        <v>3080.7409309834384</v>
      </c>
      <c r="AG15" s="23">
        <v>133000.10225998267</v>
      </c>
      <c r="AH15" s="28">
        <v>0</v>
      </c>
      <c r="AI15" s="22">
        <v>0</v>
      </c>
      <c r="AJ15" s="22">
        <v>130143</v>
      </c>
      <c r="AK15" s="22">
        <v>0</v>
      </c>
      <c r="AL15" s="22">
        <v>3076</v>
      </c>
      <c r="AM15" s="23">
        <v>133219</v>
      </c>
      <c r="AO15" s="57">
        <f t="shared" si="1"/>
        <v>218.89774001733167</v>
      </c>
      <c r="AP15" s="50"/>
      <c r="AQ15" s="1"/>
    </row>
    <row r="16" spans="1:79" s="15" customFormat="1" ht="15.75" x14ac:dyDescent="0.25">
      <c r="A16" s="12"/>
      <c r="B16" s="16" t="s">
        <v>18</v>
      </c>
      <c r="C16" s="17" t="s">
        <v>19</v>
      </c>
      <c r="D16" s="28">
        <v>0</v>
      </c>
      <c r="E16" s="22">
        <v>3457.1504975553908</v>
      </c>
      <c r="F16" s="22">
        <v>128010.10499293805</v>
      </c>
      <c r="G16" s="22">
        <v>191.07316677719552</v>
      </c>
      <c r="H16" s="22">
        <v>27104.365617901109</v>
      </c>
      <c r="I16" s="23">
        <v>158762.69427517176</v>
      </c>
      <c r="J16" s="28">
        <v>0</v>
      </c>
      <c r="K16" s="22">
        <v>2165.4343410365814</v>
      </c>
      <c r="L16" s="22">
        <v>130494.43929392908</v>
      </c>
      <c r="M16" s="22">
        <v>190.73115158865954</v>
      </c>
      <c r="N16" s="22">
        <v>27055.849623356651</v>
      </c>
      <c r="O16" s="23">
        <v>159906.45440991098</v>
      </c>
      <c r="P16" s="42">
        <v>0</v>
      </c>
      <c r="Q16" s="43">
        <v>2273.3914450265629</v>
      </c>
      <c r="R16" s="43">
        <v>133305.63604352975</v>
      </c>
      <c r="S16" s="43">
        <v>193.53502653461092</v>
      </c>
      <c r="T16" s="43">
        <v>27653.574824775438</v>
      </c>
      <c r="U16" s="44">
        <v>163426.13733986637</v>
      </c>
      <c r="V16" s="28">
        <v>0</v>
      </c>
      <c r="W16" s="22">
        <v>1359.5718900339016</v>
      </c>
      <c r="X16" s="22">
        <v>136761.4059017339</v>
      </c>
      <c r="Y16" s="22">
        <v>196.46992630547709</v>
      </c>
      <c r="Z16" s="22">
        <v>28072.932870035271</v>
      </c>
      <c r="AA16" s="23">
        <v>166390.38058810853</v>
      </c>
      <c r="AB16" s="28">
        <v>0</v>
      </c>
      <c r="AC16" s="22">
        <v>1395.2046624610859</v>
      </c>
      <c r="AD16" s="22">
        <v>140345.76071889387</v>
      </c>
      <c r="AE16" s="22">
        <v>201.61917087587949</v>
      </c>
      <c r="AF16" s="22">
        <v>28808.6912625515</v>
      </c>
      <c r="AG16" s="23">
        <v>170751.27581478233</v>
      </c>
      <c r="AH16" s="28">
        <v>0</v>
      </c>
      <c r="AI16" s="22">
        <v>1393</v>
      </c>
      <c r="AJ16" s="22">
        <v>140596</v>
      </c>
      <c r="AK16" s="22">
        <v>202</v>
      </c>
      <c r="AL16" s="22">
        <v>28764</v>
      </c>
      <c r="AM16" s="23">
        <v>170955</v>
      </c>
      <c r="AO16" s="57">
        <f t="shared" si="1"/>
        <v>203.72418521766667</v>
      </c>
      <c r="AP16" s="50"/>
      <c r="AQ16" s="1"/>
    </row>
    <row r="17" spans="1:43" s="15" customFormat="1" ht="15.75" x14ac:dyDescent="0.25">
      <c r="A17" s="12"/>
      <c r="B17" s="16" t="s">
        <v>20</v>
      </c>
      <c r="C17" s="17" t="s">
        <v>21</v>
      </c>
      <c r="D17" s="28">
        <v>0</v>
      </c>
      <c r="E17" s="22">
        <v>471.31381138374894</v>
      </c>
      <c r="F17" s="22">
        <v>31111.80683577482</v>
      </c>
      <c r="G17" s="22">
        <v>980.84225612293699</v>
      </c>
      <c r="H17" s="22">
        <v>853.46014493813993</v>
      </c>
      <c r="I17" s="23">
        <v>33417.423048219644</v>
      </c>
      <c r="J17" s="28">
        <v>0</v>
      </c>
      <c r="K17" s="22">
        <v>0</v>
      </c>
      <c r="L17" s="22">
        <v>31526.587816594831</v>
      </c>
      <c r="M17" s="22">
        <v>979.08657815511901</v>
      </c>
      <c r="N17" s="22">
        <v>851.93247709601258</v>
      </c>
      <c r="O17" s="23">
        <v>33357.606871845965</v>
      </c>
      <c r="P17" s="42">
        <v>0</v>
      </c>
      <c r="Q17" s="43">
        <v>0</v>
      </c>
      <c r="R17" s="43">
        <v>31990.049652660953</v>
      </c>
      <c r="S17" s="43">
        <v>993.47980287766939</v>
      </c>
      <c r="T17" s="43">
        <v>961.22396512190085</v>
      </c>
      <c r="U17" s="44">
        <v>33944.75342066052</v>
      </c>
      <c r="V17" s="28">
        <v>0</v>
      </c>
      <c r="W17" s="22">
        <v>438.7828354155655</v>
      </c>
      <c r="X17" s="22">
        <v>32475.169018786659</v>
      </c>
      <c r="Y17" s="22">
        <v>1008.5456217014491</v>
      </c>
      <c r="Z17" s="22">
        <v>975.8006339838696</v>
      </c>
      <c r="AA17" s="23">
        <v>34898.298109887546</v>
      </c>
      <c r="AB17" s="28">
        <v>0</v>
      </c>
      <c r="AC17" s="22">
        <v>0</v>
      </c>
      <c r="AD17" s="22">
        <v>33771.211121709814</v>
      </c>
      <c r="AE17" s="22">
        <v>1034.9784104961814</v>
      </c>
      <c r="AF17" s="22">
        <v>1001.3752153502014</v>
      </c>
      <c r="AG17" s="23">
        <v>35807.564747556193</v>
      </c>
      <c r="AH17" s="28">
        <v>0</v>
      </c>
      <c r="AI17" s="22">
        <v>0</v>
      </c>
      <c r="AJ17" s="22">
        <v>36766</v>
      </c>
      <c r="AK17" s="22">
        <v>1035</v>
      </c>
      <c r="AL17" s="22">
        <v>1000</v>
      </c>
      <c r="AM17" s="23">
        <v>38801</v>
      </c>
      <c r="AO17" s="57">
        <f t="shared" si="1"/>
        <v>2993.4352524438073</v>
      </c>
      <c r="AP17" s="50"/>
      <c r="AQ17" s="1"/>
    </row>
    <row r="18" spans="1:43" s="15" customFormat="1" ht="15.75" x14ac:dyDescent="0.25">
      <c r="A18" s="12"/>
      <c r="B18" s="16" t="s">
        <v>22</v>
      </c>
      <c r="C18" s="17" t="s">
        <v>23</v>
      </c>
      <c r="D18" s="28">
        <v>0</v>
      </c>
      <c r="E18" s="22">
        <v>3117.0402606919829</v>
      </c>
      <c r="F18" s="22">
        <v>123806.49532383976</v>
      </c>
      <c r="G18" s="22">
        <v>0</v>
      </c>
      <c r="H18" s="22">
        <v>11963.727882476134</v>
      </c>
      <c r="I18" s="23">
        <v>138887.26346700787</v>
      </c>
      <c r="J18" s="28">
        <v>0</v>
      </c>
      <c r="K18" s="22">
        <v>2915.6435372853089</v>
      </c>
      <c r="L18" s="22">
        <v>123780.70275800826</v>
      </c>
      <c r="M18" s="22">
        <v>0</v>
      </c>
      <c r="N18" s="22">
        <v>11942.313171471269</v>
      </c>
      <c r="O18" s="23">
        <v>138638.65946676486</v>
      </c>
      <c r="P18" s="42">
        <v>0</v>
      </c>
      <c r="Q18" s="43">
        <v>3131.3967293300047</v>
      </c>
      <c r="R18" s="43">
        <v>126204.19080321977</v>
      </c>
      <c r="S18" s="43">
        <v>0</v>
      </c>
      <c r="T18" s="43">
        <v>12156.580133394027</v>
      </c>
      <c r="U18" s="44">
        <v>141492.16766594379</v>
      </c>
      <c r="V18" s="28">
        <v>0</v>
      </c>
      <c r="W18" s="22">
        <v>3178.8834076226194</v>
      </c>
      <c r="X18" s="22">
        <v>128118.03894380161</v>
      </c>
      <c r="Y18" s="22">
        <v>0</v>
      </c>
      <c r="Z18" s="22">
        <v>12340.930971001368</v>
      </c>
      <c r="AA18" s="23">
        <v>143637.8533224256</v>
      </c>
      <c r="AB18" s="28">
        <v>0</v>
      </c>
      <c r="AC18" s="22">
        <v>983.90155387429184</v>
      </c>
      <c r="AD18" s="22">
        <v>133603.61564480446</v>
      </c>
      <c r="AE18" s="22">
        <v>0</v>
      </c>
      <c r="AF18" s="22">
        <v>12731.578576908869</v>
      </c>
      <c r="AG18" s="23">
        <v>147319.0957755876</v>
      </c>
      <c r="AH18" s="28">
        <v>0</v>
      </c>
      <c r="AI18" s="22">
        <v>1045</v>
      </c>
      <c r="AJ18" s="22">
        <v>133392</v>
      </c>
      <c r="AK18" s="22">
        <v>0</v>
      </c>
      <c r="AL18" s="22">
        <v>12712</v>
      </c>
      <c r="AM18" s="23">
        <v>147149</v>
      </c>
      <c r="AO18" s="57">
        <f t="shared" si="1"/>
        <v>-170.09577558760066</v>
      </c>
      <c r="AP18" s="1"/>
      <c r="AQ18" s="1"/>
    </row>
    <row r="19" spans="1:43" s="15" customFormat="1" ht="15.75" x14ac:dyDescent="0.25">
      <c r="A19" s="12"/>
      <c r="B19" s="16" t="s">
        <v>24</v>
      </c>
      <c r="C19" s="17" t="s">
        <v>25</v>
      </c>
      <c r="D19" s="28">
        <v>4319.5273902764666</v>
      </c>
      <c r="E19" s="22">
        <v>6491.3923859772558</v>
      </c>
      <c r="F19" s="22">
        <v>45336.567191781105</v>
      </c>
      <c r="G19" s="22">
        <v>324.82438352123239</v>
      </c>
      <c r="H19" s="22">
        <v>55899.091851224468</v>
      </c>
      <c r="I19" s="23">
        <v>112371.40320278052</v>
      </c>
      <c r="J19" s="28">
        <v>0</v>
      </c>
      <c r="K19" s="22">
        <v>4602.9784583396504</v>
      </c>
      <c r="L19" s="22">
        <v>52381.131931298863</v>
      </c>
      <c r="M19" s="22">
        <v>350.94531892313358</v>
      </c>
      <c r="N19" s="22">
        <v>55913.472858720837</v>
      </c>
      <c r="O19" s="23">
        <v>113248.52856728248</v>
      </c>
      <c r="P19" s="42">
        <v>0</v>
      </c>
      <c r="Q19" s="43">
        <v>3074.6264548798522</v>
      </c>
      <c r="R19" s="43">
        <v>58914.64254415602</v>
      </c>
      <c r="S19" s="43">
        <v>356.10444882368409</v>
      </c>
      <c r="T19" s="43">
        <v>57765.044486540435</v>
      </c>
      <c r="U19" s="44">
        <v>120110.4179344</v>
      </c>
      <c r="V19" s="28">
        <v>0</v>
      </c>
      <c r="W19" s="22">
        <v>2188.6749790430149</v>
      </c>
      <c r="X19" s="22">
        <v>61022.249310972482</v>
      </c>
      <c r="Y19" s="22">
        <v>361.50466440207788</v>
      </c>
      <c r="Z19" s="22">
        <v>59354.874536393334</v>
      </c>
      <c r="AA19" s="23">
        <v>122927.30349081091</v>
      </c>
      <c r="AB19" s="28">
        <v>0</v>
      </c>
      <c r="AC19" s="22">
        <v>3153.3238324987551</v>
      </c>
      <c r="AD19" s="22">
        <v>63508.694698096195</v>
      </c>
      <c r="AE19" s="22">
        <v>370.97927441161823</v>
      </c>
      <c r="AF19" s="22">
        <v>53679.088053994157</v>
      </c>
      <c r="AG19" s="23">
        <v>120712.08585900073</v>
      </c>
      <c r="AH19" s="28">
        <v>1062</v>
      </c>
      <c r="AI19" s="22">
        <v>2849</v>
      </c>
      <c r="AJ19" s="22">
        <v>65076</v>
      </c>
      <c r="AK19" s="22">
        <v>371</v>
      </c>
      <c r="AL19" s="22">
        <v>53595</v>
      </c>
      <c r="AM19" s="23">
        <v>122953</v>
      </c>
      <c r="AO19" s="57">
        <f t="shared" si="1"/>
        <v>2240.9141409992735</v>
      </c>
      <c r="AP19" s="50"/>
      <c r="AQ19" s="1"/>
    </row>
    <row r="20" spans="1:43" s="15" customFormat="1" ht="15.75" x14ac:dyDescent="0.25">
      <c r="A20" s="12"/>
      <c r="B20" s="16" t="s">
        <v>26</v>
      </c>
      <c r="C20" s="17" t="s">
        <v>27</v>
      </c>
      <c r="D20" s="28">
        <v>4378.123161421473</v>
      </c>
      <c r="E20" s="22">
        <v>789.76908934574146</v>
      </c>
      <c r="F20" s="22">
        <v>24793.654121008891</v>
      </c>
      <c r="G20" s="22">
        <v>656.01787260170454</v>
      </c>
      <c r="H20" s="22">
        <v>14606.906689560674</v>
      </c>
      <c r="I20" s="23">
        <v>45224.470933938486</v>
      </c>
      <c r="J20" s="28">
        <v>488.27174806696843</v>
      </c>
      <c r="K20" s="22">
        <v>1323.6741920252973</v>
      </c>
      <c r="L20" s="22">
        <v>29699.383384375473</v>
      </c>
      <c r="M20" s="22">
        <v>654.84362045439775</v>
      </c>
      <c r="N20" s="22">
        <v>14580.760768447726</v>
      </c>
      <c r="O20" s="23">
        <v>46746.933713369857</v>
      </c>
      <c r="P20" s="42">
        <v>0</v>
      </c>
      <c r="Q20" s="43">
        <v>1811.4878483639582</v>
      </c>
      <c r="R20" s="43">
        <v>29952.770940006616</v>
      </c>
      <c r="S20" s="43">
        <v>664.47025776883083</v>
      </c>
      <c r="T20" s="43">
        <v>14795.10766181589</v>
      </c>
      <c r="U20" s="44">
        <v>47223.836707955292</v>
      </c>
      <c r="V20" s="28">
        <v>0</v>
      </c>
      <c r="W20" s="22">
        <v>1883.4916935151737</v>
      </c>
      <c r="X20" s="22">
        <v>35504.735282417118</v>
      </c>
      <c r="Y20" s="22">
        <v>674.54674698213807</v>
      </c>
      <c r="Z20" s="22">
        <v>15019.470966299372</v>
      </c>
      <c r="AA20" s="23">
        <v>53082.244689213796</v>
      </c>
      <c r="AB20" s="28">
        <v>1204.3385140319201</v>
      </c>
      <c r="AC20" s="22">
        <v>1932.8557847967647</v>
      </c>
      <c r="AD20" s="22">
        <v>36435.272432883103</v>
      </c>
      <c r="AE20" s="22">
        <v>692.22582000718626</v>
      </c>
      <c r="AF20" s="22">
        <v>15413.113549558067</v>
      </c>
      <c r="AG20" s="23">
        <v>55677.806101277041</v>
      </c>
      <c r="AH20" s="28">
        <v>0</v>
      </c>
      <c r="AI20" s="22">
        <v>1257</v>
      </c>
      <c r="AJ20" s="22">
        <v>38844</v>
      </c>
      <c r="AK20" s="22">
        <v>692</v>
      </c>
      <c r="AL20" s="22">
        <v>15389</v>
      </c>
      <c r="AM20" s="23">
        <v>56182</v>
      </c>
      <c r="AO20" s="57">
        <f t="shared" si="1"/>
        <v>504.19389872295869</v>
      </c>
      <c r="AP20" s="50"/>
      <c r="AQ20" s="1"/>
    </row>
    <row r="21" spans="1:43" s="15" customFormat="1" ht="15.75" x14ac:dyDescent="0.25">
      <c r="A21" s="12"/>
      <c r="B21" s="16" t="s">
        <v>28</v>
      </c>
      <c r="C21" s="17" t="s">
        <v>29</v>
      </c>
      <c r="D21" s="28">
        <v>0</v>
      </c>
      <c r="E21" s="22">
        <v>7823.8092689702326</v>
      </c>
      <c r="F21" s="22">
        <v>6941.0512384595886</v>
      </c>
      <c r="G21" s="22">
        <v>0</v>
      </c>
      <c r="H21" s="22">
        <v>1011.4139628072883</v>
      </c>
      <c r="I21" s="23">
        <v>15776.274470237109</v>
      </c>
      <c r="J21" s="28">
        <v>0</v>
      </c>
      <c r="K21" s="22">
        <v>6385.6789551883212</v>
      </c>
      <c r="L21" s="22">
        <v>8641.3927079768691</v>
      </c>
      <c r="M21" s="22">
        <v>0</v>
      </c>
      <c r="N21" s="22">
        <v>1009.6035624093045</v>
      </c>
      <c r="O21" s="23">
        <v>16036.675225574494</v>
      </c>
      <c r="P21" s="42">
        <v>0</v>
      </c>
      <c r="Q21" s="43">
        <v>5288.667158435801</v>
      </c>
      <c r="R21" s="43">
        <v>9959.3124654710773</v>
      </c>
      <c r="S21" s="43">
        <v>0</v>
      </c>
      <c r="T21" s="43">
        <v>1024.4454071232071</v>
      </c>
      <c r="U21" s="44">
        <v>16272.425031030085</v>
      </c>
      <c r="V21" s="28">
        <v>0</v>
      </c>
      <c r="W21" s="22">
        <v>3963.4533133358245</v>
      </c>
      <c r="X21" s="22">
        <v>11665.074424510527</v>
      </c>
      <c r="Y21" s="22">
        <v>0</v>
      </c>
      <c r="Z21" s="22">
        <v>1039.9808099103254</v>
      </c>
      <c r="AA21" s="23">
        <v>16668.508547756675</v>
      </c>
      <c r="AB21" s="28">
        <v>0</v>
      </c>
      <c r="AC21" s="22">
        <v>4067.3307404694087</v>
      </c>
      <c r="AD21" s="22">
        <v>11970.802238803884</v>
      </c>
      <c r="AE21" s="22">
        <v>0</v>
      </c>
      <c r="AF21" s="22">
        <v>1067.2374778363221</v>
      </c>
      <c r="AG21" s="23">
        <v>17105.370457109617</v>
      </c>
      <c r="AH21" s="28">
        <v>0</v>
      </c>
      <c r="AI21" s="22">
        <v>3089</v>
      </c>
      <c r="AJ21" s="22">
        <v>12795</v>
      </c>
      <c r="AK21" s="22">
        <v>0</v>
      </c>
      <c r="AL21" s="22">
        <v>1066</v>
      </c>
      <c r="AM21" s="23">
        <v>16950</v>
      </c>
      <c r="AO21" s="57">
        <f t="shared" si="1"/>
        <v>-155.37045710961684</v>
      </c>
      <c r="AP21" s="50"/>
      <c r="AQ21" s="1"/>
    </row>
    <row r="22" spans="1:43" s="15" customFormat="1" ht="15.75" x14ac:dyDescent="0.25">
      <c r="A22" s="12"/>
      <c r="B22" s="16" t="s">
        <v>30</v>
      </c>
      <c r="C22" s="17" t="s">
        <v>31</v>
      </c>
      <c r="D22" s="28">
        <v>0</v>
      </c>
      <c r="E22" s="22">
        <v>7766.4873189370737</v>
      </c>
      <c r="F22" s="22">
        <v>108339.75938378171</v>
      </c>
      <c r="G22" s="22">
        <v>0</v>
      </c>
      <c r="H22" s="22">
        <v>6714.3110805506503</v>
      </c>
      <c r="I22" s="23">
        <v>122820.55778326943</v>
      </c>
      <c r="J22" s="28">
        <v>0</v>
      </c>
      <c r="K22" s="22">
        <v>7709.3531472136183</v>
      </c>
      <c r="L22" s="22">
        <v>108560.35686123323</v>
      </c>
      <c r="M22" s="22">
        <v>0</v>
      </c>
      <c r="N22" s="22">
        <v>6795.1151605986443</v>
      </c>
      <c r="O22" s="23">
        <v>123064.82516904549</v>
      </c>
      <c r="P22" s="42">
        <v>948.3216300195935</v>
      </c>
      <c r="Q22" s="43">
        <v>7954.2895905725081</v>
      </c>
      <c r="R22" s="43">
        <v>112249.02515656409</v>
      </c>
      <c r="S22" s="43">
        <v>0</v>
      </c>
      <c r="T22" s="43">
        <v>6495.035490501542</v>
      </c>
      <c r="U22" s="44">
        <v>127646.67186765773</v>
      </c>
      <c r="V22" s="28">
        <v>962.70263889683781</v>
      </c>
      <c r="W22" s="22">
        <v>1844.1977082540784</v>
      </c>
      <c r="X22" s="22">
        <v>114848.46012112968</v>
      </c>
      <c r="Y22" s="22">
        <v>0</v>
      </c>
      <c r="Z22" s="22">
        <v>6593.5307268118113</v>
      </c>
      <c r="AA22" s="23">
        <v>124248.89119509241</v>
      </c>
      <c r="AB22" s="28">
        <v>987.93393729180946</v>
      </c>
      <c r="AC22" s="22">
        <v>1892.5319506215887</v>
      </c>
      <c r="AD22" s="22">
        <v>117858.50252720411</v>
      </c>
      <c r="AE22" s="22">
        <v>0</v>
      </c>
      <c r="AF22" s="22">
        <v>7012.3147630630883</v>
      </c>
      <c r="AG22" s="23">
        <v>127751.28317818059</v>
      </c>
      <c r="AH22" s="28">
        <v>0</v>
      </c>
      <c r="AI22" s="22">
        <v>1890</v>
      </c>
      <c r="AJ22" s="22">
        <v>118983</v>
      </c>
      <c r="AK22" s="22">
        <v>0</v>
      </c>
      <c r="AL22" s="22">
        <v>5718</v>
      </c>
      <c r="AM22" s="23">
        <v>126591</v>
      </c>
      <c r="AO22" s="57">
        <f t="shared" si="1"/>
        <v>-1160.2831781805871</v>
      </c>
      <c r="AP22" s="50"/>
      <c r="AQ22" s="1"/>
    </row>
    <row r="23" spans="1:43" s="15" customFormat="1" ht="15.75" x14ac:dyDescent="0.25">
      <c r="A23" s="12"/>
      <c r="B23" s="16" t="s">
        <v>32</v>
      </c>
      <c r="C23" s="17" t="s">
        <v>33</v>
      </c>
      <c r="D23" s="28">
        <v>0</v>
      </c>
      <c r="E23" s="22">
        <v>10787.990996240458</v>
      </c>
      <c r="F23" s="22">
        <v>69430.893522385464</v>
      </c>
      <c r="G23" s="22">
        <v>331.1934890804722</v>
      </c>
      <c r="H23" s="22">
        <v>34923.079602423946</v>
      </c>
      <c r="I23" s="23">
        <v>115473.15761013035</v>
      </c>
      <c r="J23" s="28">
        <v>0</v>
      </c>
      <c r="K23" s="22">
        <v>10580.49274912824</v>
      </c>
      <c r="L23" s="22">
        <v>70087.340503779429</v>
      </c>
      <c r="M23" s="22">
        <v>330.60066275367654</v>
      </c>
      <c r="N23" s="22">
        <v>34860.568346364598</v>
      </c>
      <c r="O23" s="23">
        <v>115859.00226202594</v>
      </c>
      <c r="P23" s="42">
        <v>0</v>
      </c>
      <c r="Q23" s="43">
        <v>3518.4667823992263</v>
      </c>
      <c r="R23" s="43">
        <v>72814.328149871784</v>
      </c>
      <c r="S23" s="43">
        <v>335.46071265999223</v>
      </c>
      <c r="T23" s="43">
        <v>35373.041916485949</v>
      </c>
      <c r="U23" s="44">
        <v>112041.29756141694</v>
      </c>
      <c r="V23" s="28">
        <v>0</v>
      </c>
      <c r="W23" s="22">
        <v>3790.5597781870047</v>
      </c>
      <c r="X23" s="22">
        <v>75528.278869860209</v>
      </c>
      <c r="Y23" s="22">
        <v>340.54787226282696</v>
      </c>
      <c r="Z23" s="22">
        <v>35909.463330606399</v>
      </c>
      <c r="AA23" s="23">
        <v>115568.84985091645</v>
      </c>
      <c r="AB23" s="28">
        <v>264.79317775032172</v>
      </c>
      <c r="AC23" s="22">
        <v>3633.1774591833482</v>
      </c>
      <c r="AD23" s="22">
        <v>79220.204620550561</v>
      </c>
      <c r="AE23" s="22">
        <v>349.47322951819109</v>
      </c>
      <c r="AF23" s="22">
        <v>36850.607924887416</v>
      </c>
      <c r="AG23" s="23">
        <v>120318.25641188983</v>
      </c>
      <c r="AH23" s="28">
        <v>0</v>
      </c>
      <c r="AI23" s="22">
        <v>2765</v>
      </c>
      <c r="AJ23" s="22">
        <v>80692</v>
      </c>
      <c r="AK23" s="22">
        <v>349</v>
      </c>
      <c r="AL23" s="22">
        <v>36793</v>
      </c>
      <c r="AM23" s="23">
        <v>120599</v>
      </c>
      <c r="AO23" s="57">
        <f t="shared" si="1"/>
        <v>280.74358811017009</v>
      </c>
      <c r="AP23" s="50"/>
      <c r="AQ23" s="1"/>
    </row>
    <row r="24" spans="1:43" s="15" customFormat="1" ht="15.75" x14ac:dyDescent="0.25">
      <c r="A24" s="12"/>
      <c r="B24" s="16" t="s">
        <v>34</v>
      </c>
      <c r="C24" s="17" t="s">
        <v>35</v>
      </c>
      <c r="D24" s="28">
        <v>0</v>
      </c>
      <c r="E24" s="22">
        <v>9795.6843501108906</v>
      </c>
      <c r="F24" s="22">
        <v>6325.7956414370192</v>
      </c>
      <c r="G24" s="22">
        <v>0</v>
      </c>
      <c r="H24" s="22">
        <v>602.51738590408991</v>
      </c>
      <c r="I24" s="23">
        <v>16723.997377452</v>
      </c>
      <c r="J24" s="28">
        <v>1669.5333469060665</v>
      </c>
      <c r="K24" s="22">
        <v>10258.792873448701</v>
      </c>
      <c r="L24" s="22">
        <v>6804.0159476727813</v>
      </c>
      <c r="M24" s="22">
        <v>0</v>
      </c>
      <c r="N24" s="22">
        <v>601.43889800957311</v>
      </c>
      <c r="O24" s="23">
        <v>19333.781066037121</v>
      </c>
      <c r="P24" s="42">
        <v>0</v>
      </c>
      <c r="Q24" s="43">
        <v>14917.679845287808</v>
      </c>
      <c r="R24" s="43">
        <v>9418.7046246843984</v>
      </c>
      <c r="S24" s="43">
        <v>0</v>
      </c>
      <c r="T24" s="43">
        <v>610.28045033913975</v>
      </c>
      <c r="U24" s="44">
        <v>24946.664920311345</v>
      </c>
      <c r="V24" s="28">
        <v>297.32448847562199</v>
      </c>
      <c r="W24" s="22">
        <v>14832.169636554818</v>
      </c>
      <c r="X24" s="22">
        <v>13536.777922447372</v>
      </c>
      <c r="Y24" s="22">
        <v>0</v>
      </c>
      <c r="Z24" s="22">
        <v>619.53516761660444</v>
      </c>
      <c r="AA24" s="23">
        <v>29285.807215094414</v>
      </c>
      <c r="AB24" s="28">
        <v>0</v>
      </c>
      <c r="AC24" s="22">
        <v>14515.236175257483</v>
      </c>
      <c r="AD24" s="22">
        <v>14978.960268272007</v>
      </c>
      <c r="AE24" s="22">
        <v>0</v>
      </c>
      <c r="AF24" s="22">
        <v>635.77245216194001</v>
      </c>
      <c r="AG24" s="23">
        <v>30129.968895691429</v>
      </c>
      <c r="AH24" s="28">
        <v>0</v>
      </c>
      <c r="AI24" s="22">
        <v>14492</v>
      </c>
      <c r="AJ24" s="22">
        <v>14970</v>
      </c>
      <c r="AK24" s="22">
        <v>0</v>
      </c>
      <c r="AL24" s="22">
        <v>635</v>
      </c>
      <c r="AM24" s="23">
        <v>30097</v>
      </c>
      <c r="AO24" s="57">
        <f t="shared" si="1"/>
        <v>-32.96889569142877</v>
      </c>
      <c r="AP24" s="50"/>
      <c r="AQ24" s="1"/>
    </row>
    <row r="25" spans="1:43" s="15" customFormat="1" ht="15.75" x14ac:dyDescent="0.25">
      <c r="A25" s="12"/>
      <c r="B25" s="16" t="s">
        <v>36</v>
      </c>
      <c r="C25" s="17" t="s">
        <v>37</v>
      </c>
      <c r="D25" s="28">
        <v>0</v>
      </c>
      <c r="E25" s="22">
        <v>2541.2731181367003</v>
      </c>
      <c r="F25" s="22">
        <v>2100.5310134373026</v>
      </c>
      <c r="G25" s="22">
        <v>0</v>
      </c>
      <c r="H25" s="22">
        <v>226.74015790893867</v>
      </c>
      <c r="I25" s="23">
        <v>4868.5442894829412</v>
      </c>
      <c r="J25" s="28">
        <v>0</v>
      </c>
      <c r="K25" s="22">
        <v>1712.7657412661626</v>
      </c>
      <c r="L25" s="22">
        <v>2920.729701327673</v>
      </c>
      <c r="M25" s="22">
        <v>0</v>
      </c>
      <c r="N25" s="22">
        <v>226.33429988520933</v>
      </c>
      <c r="O25" s="23">
        <v>4859.8297424790453</v>
      </c>
      <c r="P25" s="42">
        <v>0</v>
      </c>
      <c r="Q25" s="43">
        <v>1737.944538280806</v>
      </c>
      <c r="R25" s="43">
        <v>2963.6663730000082</v>
      </c>
      <c r="S25" s="43">
        <v>0</v>
      </c>
      <c r="T25" s="43">
        <v>229.66156482107161</v>
      </c>
      <c r="U25" s="44">
        <v>4931.2724761018862</v>
      </c>
      <c r="V25" s="28">
        <v>0</v>
      </c>
      <c r="W25" s="22">
        <v>1764.2999382231842</v>
      </c>
      <c r="X25" s="22">
        <v>3008.609471491206</v>
      </c>
      <c r="Y25" s="22">
        <v>0</v>
      </c>
      <c r="Z25" s="22">
        <v>233.14431254916616</v>
      </c>
      <c r="AA25" s="23">
        <v>5006.0537222635558</v>
      </c>
      <c r="AB25" s="28">
        <v>0</v>
      </c>
      <c r="AC25" s="22">
        <v>1810.5401544653978</v>
      </c>
      <c r="AD25" s="22">
        <v>3087.4615700126346</v>
      </c>
      <c r="AE25" s="22">
        <v>0</v>
      </c>
      <c r="AF25" s="22">
        <v>239.25474943937698</v>
      </c>
      <c r="AG25" s="23">
        <v>5137.2564739174086</v>
      </c>
      <c r="AH25" s="28">
        <v>0</v>
      </c>
      <c r="AI25" s="22">
        <v>1808</v>
      </c>
      <c r="AJ25" s="22">
        <v>3083</v>
      </c>
      <c r="AK25" s="22">
        <v>0</v>
      </c>
      <c r="AL25" s="22">
        <v>239</v>
      </c>
      <c r="AM25" s="23">
        <v>5130</v>
      </c>
      <c r="AO25" s="57">
        <f t="shared" si="1"/>
        <v>-7.2564739174085844</v>
      </c>
      <c r="AP25" s="50"/>
      <c r="AQ25" s="1"/>
    </row>
    <row r="26" spans="1:43" s="15" customFormat="1" ht="15.75" x14ac:dyDescent="0.25">
      <c r="A26" s="12"/>
      <c r="B26" s="16" t="s">
        <v>38</v>
      </c>
      <c r="C26" s="17" t="s">
        <v>39</v>
      </c>
      <c r="D26" s="28">
        <v>0</v>
      </c>
      <c r="E26" s="22">
        <v>0</v>
      </c>
      <c r="F26" s="22">
        <v>12296.195192668456</v>
      </c>
      <c r="G26" s="22">
        <v>30.571706684351284</v>
      </c>
      <c r="H26" s="22">
        <v>0</v>
      </c>
      <c r="I26" s="23">
        <v>12326.766899352808</v>
      </c>
      <c r="J26" s="28">
        <v>761.65306534404715</v>
      </c>
      <c r="K26" s="22">
        <v>1413.9536037772627</v>
      </c>
      <c r="L26" s="22">
        <v>12575.540594745618</v>
      </c>
      <c r="M26" s="22">
        <v>30.516984254185527</v>
      </c>
      <c r="N26" s="22">
        <v>0</v>
      </c>
      <c r="O26" s="23">
        <v>14781.664248121115</v>
      </c>
      <c r="P26" s="42">
        <v>0</v>
      </c>
      <c r="Q26" s="43">
        <v>1434.7396633765823</v>
      </c>
      <c r="R26" s="43">
        <v>13387.462902154151</v>
      </c>
      <c r="S26" s="43">
        <v>30.965604245537747</v>
      </c>
      <c r="T26" s="43">
        <v>0</v>
      </c>
      <c r="U26" s="44">
        <v>14853.168169776271</v>
      </c>
      <c r="V26" s="28">
        <v>444.02203345037822</v>
      </c>
      <c r="W26" s="22">
        <v>1012.4750202275586</v>
      </c>
      <c r="X26" s="22">
        <v>13590.479702304203</v>
      </c>
      <c r="Y26" s="22">
        <v>31.435188208876333</v>
      </c>
      <c r="Z26" s="22">
        <v>0</v>
      </c>
      <c r="AA26" s="23">
        <v>15078.411944191015</v>
      </c>
      <c r="AB26" s="28">
        <v>0</v>
      </c>
      <c r="AC26" s="22">
        <v>0</v>
      </c>
      <c r="AD26" s="22">
        <v>15222.247401128901</v>
      </c>
      <c r="AE26" s="22">
        <v>32.259067340140717</v>
      </c>
      <c r="AF26" s="22">
        <v>0</v>
      </c>
      <c r="AG26" s="23">
        <v>15254.506468469042</v>
      </c>
      <c r="AH26" s="28">
        <v>0</v>
      </c>
      <c r="AI26" s="22">
        <v>0</v>
      </c>
      <c r="AJ26" s="22">
        <v>15674</v>
      </c>
      <c r="AK26" s="22">
        <v>32</v>
      </c>
      <c r="AL26" s="22">
        <v>0</v>
      </c>
      <c r="AM26" s="23">
        <v>15706</v>
      </c>
      <c r="AO26" s="57">
        <f t="shared" si="1"/>
        <v>451.49353153095763</v>
      </c>
      <c r="AP26" s="50"/>
      <c r="AQ26" s="1"/>
    </row>
    <row r="27" spans="1:43" s="15" customFormat="1" ht="15.75" x14ac:dyDescent="0.25">
      <c r="A27" s="12"/>
      <c r="B27" s="16" t="s">
        <v>40</v>
      </c>
      <c r="C27" s="17" t="s">
        <v>41</v>
      </c>
      <c r="D27" s="28">
        <v>0</v>
      </c>
      <c r="E27" s="22">
        <v>0</v>
      </c>
      <c r="F27" s="22">
        <v>14012.032230327672</v>
      </c>
      <c r="G27" s="22">
        <v>0</v>
      </c>
      <c r="H27" s="22">
        <v>0</v>
      </c>
      <c r="I27" s="23">
        <v>14012.032230327672</v>
      </c>
      <c r="J27" s="28">
        <v>0</v>
      </c>
      <c r="K27" s="22">
        <v>0</v>
      </c>
      <c r="L27" s="22">
        <v>13986.951116501699</v>
      </c>
      <c r="M27" s="22">
        <v>0</v>
      </c>
      <c r="N27" s="22">
        <v>0</v>
      </c>
      <c r="O27" s="23">
        <v>13986.951116501699</v>
      </c>
      <c r="P27" s="42">
        <v>0</v>
      </c>
      <c r="Q27" s="43">
        <v>0</v>
      </c>
      <c r="R27" s="43">
        <v>13944.843778573832</v>
      </c>
      <c r="S27" s="43">
        <v>0</v>
      </c>
      <c r="T27" s="43">
        <v>0</v>
      </c>
      <c r="U27" s="44">
        <v>13944.843778573832</v>
      </c>
      <c r="V27" s="28">
        <v>0</v>
      </c>
      <c r="W27" s="22">
        <v>0</v>
      </c>
      <c r="X27" s="22">
        <v>14156.313090063975</v>
      </c>
      <c r="Y27" s="22">
        <v>0</v>
      </c>
      <c r="Z27" s="22">
        <v>0</v>
      </c>
      <c r="AA27" s="23">
        <v>14156.313090063975</v>
      </c>
      <c r="AB27" s="28">
        <v>0</v>
      </c>
      <c r="AC27" s="22">
        <v>0</v>
      </c>
      <c r="AD27" s="22">
        <v>14527.333325510037</v>
      </c>
      <c r="AE27" s="22">
        <v>0</v>
      </c>
      <c r="AF27" s="22">
        <v>0</v>
      </c>
      <c r="AG27" s="23">
        <v>14527.333325510037</v>
      </c>
      <c r="AH27" s="28">
        <v>0</v>
      </c>
      <c r="AI27" s="22">
        <v>0</v>
      </c>
      <c r="AJ27" s="22">
        <v>14505</v>
      </c>
      <c r="AK27" s="22">
        <v>0</v>
      </c>
      <c r="AL27" s="22">
        <v>0</v>
      </c>
      <c r="AM27" s="23">
        <v>14505</v>
      </c>
      <c r="AO27" s="57">
        <f t="shared" si="1"/>
        <v>-22.333325510036957</v>
      </c>
      <c r="AP27" s="50"/>
      <c r="AQ27" s="1"/>
    </row>
    <row r="28" spans="1:43" s="15" customFormat="1" ht="15.75" x14ac:dyDescent="0.25">
      <c r="A28" s="12"/>
      <c r="B28" s="16" t="s">
        <v>42</v>
      </c>
      <c r="C28" s="17" t="s">
        <v>43</v>
      </c>
      <c r="D28" s="28">
        <v>0</v>
      </c>
      <c r="E28" s="22">
        <v>0</v>
      </c>
      <c r="F28" s="22">
        <v>12348.421858254222</v>
      </c>
      <c r="G28" s="22">
        <v>0</v>
      </c>
      <c r="H28" s="22">
        <v>0</v>
      </c>
      <c r="I28" s="23">
        <v>12348.421858254222</v>
      </c>
      <c r="J28" s="28">
        <v>0</v>
      </c>
      <c r="K28" s="22">
        <v>0</v>
      </c>
      <c r="L28" s="22">
        <v>12326.31855666977</v>
      </c>
      <c r="M28" s="22">
        <v>0</v>
      </c>
      <c r="N28" s="22">
        <v>0</v>
      </c>
      <c r="O28" s="23">
        <v>12326.31855666977</v>
      </c>
      <c r="P28" s="42">
        <v>0</v>
      </c>
      <c r="Q28" s="43">
        <v>0</v>
      </c>
      <c r="R28" s="43">
        <v>8835.5190780601042</v>
      </c>
      <c r="S28" s="43">
        <v>0</v>
      </c>
      <c r="T28" s="43">
        <v>0</v>
      </c>
      <c r="U28" s="44">
        <v>8835.5190780601042</v>
      </c>
      <c r="V28" s="28">
        <v>0</v>
      </c>
      <c r="W28" s="22">
        <v>0</v>
      </c>
      <c r="X28" s="22">
        <v>8962.9580380558655</v>
      </c>
      <c r="Y28" s="22">
        <v>0</v>
      </c>
      <c r="Z28" s="22">
        <v>0</v>
      </c>
      <c r="AA28" s="23">
        <v>8962.9580380558655</v>
      </c>
      <c r="AB28" s="28">
        <v>0</v>
      </c>
      <c r="AC28" s="22">
        <v>0</v>
      </c>
      <c r="AD28" s="22">
        <v>9197.8665753576224</v>
      </c>
      <c r="AE28" s="22">
        <v>0</v>
      </c>
      <c r="AF28" s="22">
        <v>0</v>
      </c>
      <c r="AG28" s="23">
        <v>9197.8665753576224</v>
      </c>
      <c r="AH28" s="28">
        <v>0</v>
      </c>
      <c r="AI28" s="22">
        <v>0</v>
      </c>
      <c r="AJ28" s="22">
        <v>9183</v>
      </c>
      <c r="AK28" s="22">
        <v>0</v>
      </c>
      <c r="AL28" s="22">
        <v>0</v>
      </c>
      <c r="AM28" s="23">
        <v>9183</v>
      </c>
      <c r="AO28" s="57">
        <f t="shared" si="1"/>
        <v>-14.866575357622423</v>
      </c>
      <c r="AP28" s="50"/>
      <c r="AQ28" s="1"/>
    </row>
    <row r="29" spans="1:43" s="15" customFormat="1" ht="15.75" x14ac:dyDescent="0.25">
      <c r="A29" s="12"/>
      <c r="B29" s="16" t="s">
        <v>44</v>
      </c>
      <c r="C29" s="17" t="s">
        <v>45</v>
      </c>
      <c r="D29" s="28">
        <v>0</v>
      </c>
      <c r="E29" s="22">
        <v>244.57365347481027</v>
      </c>
      <c r="F29" s="22">
        <v>542.64779364723529</v>
      </c>
      <c r="G29" s="22">
        <v>0</v>
      </c>
      <c r="H29" s="22">
        <v>0</v>
      </c>
      <c r="I29" s="23">
        <v>787.22144712204556</v>
      </c>
      <c r="J29" s="28">
        <v>0</v>
      </c>
      <c r="K29" s="22">
        <v>0</v>
      </c>
      <c r="L29" s="22">
        <v>785.81234454527737</v>
      </c>
      <c r="M29" s="22">
        <v>0</v>
      </c>
      <c r="N29" s="22">
        <v>0</v>
      </c>
      <c r="O29" s="23">
        <v>785.81234454527737</v>
      </c>
      <c r="P29" s="42">
        <v>0</v>
      </c>
      <c r="Q29" s="43">
        <v>0</v>
      </c>
      <c r="R29" s="43">
        <v>797.36430932259691</v>
      </c>
      <c r="S29" s="43">
        <v>0</v>
      </c>
      <c r="T29" s="43">
        <v>0</v>
      </c>
      <c r="U29" s="44">
        <v>797.36430932259691</v>
      </c>
      <c r="V29" s="28">
        <v>0</v>
      </c>
      <c r="W29" s="22">
        <v>0</v>
      </c>
      <c r="X29" s="22">
        <v>809.45609637856558</v>
      </c>
      <c r="Y29" s="22">
        <v>0</v>
      </c>
      <c r="Z29" s="22">
        <v>0</v>
      </c>
      <c r="AA29" s="23">
        <v>809.45609637856558</v>
      </c>
      <c r="AB29" s="28">
        <v>0</v>
      </c>
      <c r="AC29" s="22">
        <v>0</v>
      </c>
      <c r="AD29" s="22">
        <v>830.67098400862346</v>
      </c>
      <c r="AE29" s="22">
        <v>0</v>
      </c>
      <c r="AF29" s="22">
        <v>0</v>
      </c>
      <c r="AG29" s="23">
        <v>830.67098400862346</v>
      </c>
      <c r="AH29" s="28">
        <v>0</v>
      </c>
      <c r="AI29" s="22">
        <v>0</v>
      </c>
      <c r="AJ29" s="22">
        <v>829</v>
      </c>
      <c r="AK29" s="22">
        <v>0</v>
      </c>
      <c r="AL29" s="22">
        <v>0</v>
      </c>
      <c r="AM29" s="23">
        <v>829</v>
      </c>
      <c r="AO29" s="57">
        <f t="shared" si="1"/>
        <v>-1.6709840086234635</v>
      </c>
      <c r="AP29" s="50"/>
      <c r="AQ29" s="1"/>
    </row>
    <row r="30" spans="1:43" s="15" customFormat="1" ht="15.75" x14ac:dyDescent="0.25">
      <c r="A30" s="12"/>
      <c r="B30" s="16" t="s">
        <v>46</v>
      </c>
      <c r="C30" s="17" t="s">
        <v>47</v>
      </c>
      <c r="D30" s="28">
        <v>0</v>
      </c>
      <c r="E30" s="22">
        <v>121.01300562555716</v>
      </c>
      <c r="F30" s="22">
        <v>18993.946598765084</v>
      </c>
      <c r="G30" s="22">
        <v>382.14633355439105</v>
      </c>
      <c r="H30" s="22">
        <v>2050.8519900752317</v>
      </c>
      <c r="I30" s="23">
        <v>21547.957928020267</v>
      </c>
      <c r="J30" s="28">
        <v>0</v>
      </c>
      <c r="K30" s="22">
        <v>1173.6323527755517</v>
      </c>
      <c r="L30" s="22">
        <v>19155.765324554373</v>
      </c>
      <c r="M30" s="22">
        <v>381.46230317731909</v>
      </c>
      <c r="N30" s="22">
        <v>2047.1810270516123</v>
      </c>
      <c r="O30" s="23">
        <v>22758.041007558855</v>
      </c>
      <c r="P30" s="42">
        <v>0</v>
      </c>
      <c r="Q30" s="43">
        <v>1914.7065291824172</v>
      </c>
      <c r="R30" s="43">
        <v>21708.178809632191</v>
      </c>
      <c r="S30" s="43">
        <v>387.07005306922184</v>
      </c>
      <c r="T30" s="43">
        <v>2077.2759514714903</v>
      </c>
      <c r="U30" s="44">
        <v>26087.231343355321</v>
      </c>
      <c r="V30" s="28">
        <v>0</v>
      </c>
      <c r="W30" s="22">
        <v>1976.4874586330995</v>
      </c>
      <c r="X30" s="22">
        <v>22303.266034197761</v>
      </c>
      <c r="Y30" s="22">
        <v>392.93985261095418</v>
      </c>
      <c r="Z30" s="22">
        <v>2108.7772090121207</v>
      </c>
      <c r="AA30" s="23">
        <v>26781.470554453936</v>
      </c>
      <c r="AB30" s="28">
        <v>0</v>
      </c>
      <c r="AC30" s="22">
        <v>2028.2888590113475</v>
      </c>
      <c r="AD30" s="22">
        <v>22987.273735461938</v>
      </c>
      <c r="AE30" s="22">
        <v>403.23834175175898</v>
      </c>
      <c r="AF30" s="22">
        <v>1989.309152642011</v>
      </c>
      <c r="AG30" s="23">
        <v>27408.110088867055</v>
      </c>
      <c r="AH30" s="28">
        <v>0</v>
      </c>
      <c r="AI30" s="22">
        <v>1553</v>
      </c>
      <c r="AJ30" s="22">
        <v>23367</v>
      </c>
      <c r="AK30" s="22">
        <v>403</v>
      </c>
      <c r="AL30" s="22">
        <v>1986</v>
      </c>
      <c r="AM30" s="23">
        <v>27309</v>
      </c>
      <c r="AO30" s="57">
        <f t="shared" si="1"/>
        <v>-99.11008886705531</v>
      </c>
      <c r="AP30" s="50"/>
      <c r="AQ30" s="1"/>
    </row>
    <row r="31" spans="1:43" s="15" customFormat="1" ht="15.75" x14ac:dyDescent="0.25">
      <c r="A31" s="12"/>
      <c r="B31" s="16" t="s">
        <v>48</v>
      </c>
      <c r="C31" s="17" t="s">
        <v>49</v>
      </c>
      <c r="D31" s="28">
        <v>428.00389358091797</v>
      </c>
      <c r="E31" s="22">
        <v>1171.9154229001324</v>
      </c>
      <c r="F31" s="22">
        <v>214412.11718847402</v>
      </c>
      <c r="G31" s="22">
        <v>0</v>
      </c>
      <c r="H31" s="22">
        <v>171655.03774818504</v>
      </c>
      <c r="I31" s="23">
        <v>387667.07425314013</v>
      </c>
      <c r="J31" s="28">
        <v>0</v>
      </c>
      <c r="K31" s="22">
        <v>943.48342985856925</v>
      </c>
      <c r="L31" s="22">
        <v>214926.0339381863</v>
      </c>
      <c r="M31" s="22">
        <v>0</v>
      </c>
      <c r="N31" s="22">
        <v>171347.78042320936</v>
      </c>
      <c r="O31" s="23">
        <v>387217.29779125424</v>
      </c>
      <c r="P31" s="42">
        <v>0</v>
      </c>
      <c r="Q31" s="43">
        <v>941.87046246843977</v>
      </c>
      <c r="R31" s="43">
        <v>212296.31200687611</v>
      </c>
      <c r="S31" s="43">
        <v>0</v>
      </c>
      <c r="T31" s="43">
        <v>174853.73553998003</v>
      </c>
      <c r="U31" s="44">
        <v>388091.91800932458</v>
      </c>
      <c r="V31" s="28">
        <v>0</v>
      </c>
      <c r="W31" s="22">
        <v>995.44762661441723</v>
      </c>
      <c r="X31" s="22">
        <v>215743.6260760444</v>
      </c>
      <c r="Y31" s="22">
        <v>0</v>
      </c>
      <c r="Z31" s="22">
        <v>177505.33921896375</v>
      </c>
      <c r="AA31" s="23">
        <v>394244.41292162257</v>
      </c>
      <c r="AB31" s="28">
        <v>0</v>
      </c>
      <c r="AC31" s="22">
        <v>1173.4235744976186</v>
      </c>
      <c r="AD31" s="22">
        <v>221770.33494102073</v>
      </c>
      <c r="AE31" s="22">
        <v>0</v>
      </c>
      <c r="AF31" s="22">
        <v>181156.16915978355</v>
      </c>
      <c r="AG31" s="23">
        <v>404099.92767530191</v>
      </c>
      <c r="AH31" s="28">
        <v>0</v>
      </c>
      <c r="AI31" s="22">
        <v>1074</v>
      </c>
      <c r="AJ31" s="22">
        <v>220134</v>
      </c>
      <c r="AK31" s="22">
        <v>0</v>
      </c>
      <c r="AL31" s="22">
        <v>180873</v>
      </c>
      <c r="AM31" s="23">
        <v>402081</v>
      </c>
      <c r="AO31" s="57">
        <f t="shared" si="1"/>
        <v>-2018.9276753019076</v>
      </c>
      <c r="AP31" s="50"/>
      <c r="AQ31" s="1"/>
    </row>
    <row r="32" spans="1:43" s="15" customFormat="1" ht="15.75" x14ac:dyDescent="0.25">
      <c r="A32" s="12"/>
      <c r="B32" s="16" t="s">
        <v>50</v>
      </c>
      <c r="C32" s="17" t="s">
        <v>51</v>
      </c>
      <c r="D32" s="28">
        <v>0</v>
      </c>
      <c r="E32" s="22">
        <v>20.381137789567521</v>
      </c>
      <c r="F32" s="22">
        <v>44173.568516663909</v>
      </c>
      <c r="G32" s="22">
        <v>0</v>
      </c>
      <c r="H32" s="22">
        <v>42508.684323478607</v>
      </c>
      <c r="I32" s="23">
        <v>86702.633977932084</v>
      </c>
      <c r="J32" s="28">
        <v>0</v>
      </c>
      <c r="K32" s="22">
        <v>61.033968508371053</v>
      </c>
      <c r="L32" s="22">
        <v>44432.729074094124</v>
      </c>
      <c r="M32" s="22">
        <v>0</v>
      </c>
      <c r="N32" s="22">
        <v>42432.595064434383</v>
      </c>
      <c r="O32" s="23">
        <v>86926.358107036882</v>
      </c>
      <c r="P32" s="42">
        <v>0</v>
      </c>
      <c r="Q32" s="43">
        <v>61.931208491075495</v>
      </c>
      <c r="R32" s="43">
        <v>45085.919781502955</v>
      </c>
      <c r="S32" s="43">
        <v>0</v>
      </c>
      <c r="T32" s="43">
        <v>42069.35383458349</v>
      </c>
      <c r="U32" s="44">
        <v>87217.204824577522</v>
      </c>
      <c r="V32" s="28">
        <v>0</v>
      </c>
      <c r="W32" s="22">
        <v>0</v>
      </c>
      <c r="X32" s="22">
        <v>45798.449621315413</v>
      </c>
      <c r="Y32" s="22">
        <v>0</v>
      </c>
      <c r="Z32" s="22">
        <v>42707.32278077591</v>
      </c>
      <c r="AA32" s="23">
        <v>88505.77240209133</v>
      </c>
      <c r="AB32" s="28">
        <v>0</v>
      </c>
      <c r="AC32" s="22">
        <v>0</v>
      </c>
      <c r="AD32" s="22">
        <v>47482.658869075458</v>
      </c>
      <c r="AE32" s="22">
        <v>0</v>
      </c>
      <c r="AF32" s="22">
        <v>43826.631237192843</v>
      </c>
      <c r="AG32" s="23">
        <v>91309.290106268309</v>
      </c>
      <c r="AH32" s="28">
        <v>0</v>
      </c>
      <c r="AI32" s="22">
        <v>197</v>
      </c>
      <c r="AJ32" s="22">
        <v>47408</v>
      </c>
      <c r="AK32" s="22">
        <v>0</v>
      </c>
      <c r="AL32" s="22">
        <v>43758</v>
      </c>
      <c r="AM32" s="23">
        <v>91363</v>
      </c>
      <c r="AO32" s="57">
        <f t="shared" si="1"/>
        <v>53.709893731691409</v>
      </c>
      <c r="AP32" s="50"/>
      <c r="AQ32" s="1"/>
    </row>
    <row r="33" spans="1:43" s="15" customFormat="1" ht="15.75" x14ac:dyDescent="0.25">
      <c r="A33" s="12"/>
      <c r="B33" s="16" t="s">
        <v>52</v>
      </c>
      <c r="C33" s="17" t="s">
        <v>53</v>
      </c>
      <c r="D33" s="28">
        <v>0</v>
      </c>
      <c r="E33" s="22">
        <v>3351.4233452720091</v>
      </c>
      <c r="F33" s="22">
        <v>110130.75186703994</v>
      </c>
      <c r="G33" s="22">
        <v>0</v>
      </c>
      <c r="H33" s="22">
        <v>9752.3744323080591</v>
      </c>
      <c r="I33" s="23">
        <v>123234.54964462001</v>
      </c>
      <c r="J33" s="28">
        <v>0</v>
      </c>
      <c r="K33" s="22">
        <v>6048.7205873816893</v>
      </c>
      <c r="L33" s="22">
        <v>110296.01034069005</v>
      </c>
      <c r="M33" s="22">
        <v>0</v>
      </c>
      <c r="N33" s="22">
        <v>9734.9179770851824</v>
      </c>
      <c r="O33" s="23">
        <v>126079.64890515691</v>
      </c>
      <c r="P33" s="42">
        <v>0</v>
      </c>
      <c r="Q33" s="43">
        <v>2774.0020469960896</v>
      </c>
      <c r="R33" s="43">
        <v>124213.36049693375</v>
      </c>
      <c r="S33" s="43">
        <v>0</v>
      </c>
      <c r="T33" s="43">
        <v>9878.0277543265402</v>
      </c>
      <c r="U33" s="44">
        <v>136865.39029825636</v>
      </c>
      <c r="V33" s="28">
        <v>0</v>
      </c>
      <c r="W33" s="22">
        <v>2243.6865584085485</v>
      </c>
      <c r="X33" s="22">
        <v>126669.40068717589</v>
      </c>
      <c r="Y33" s="22">
        <v>0</v>
      </c>
      <c r="Z33" s="22">
        <v>10027.82503863155</v>
      </c>
      <c r="AA33" s="23">
        <v>138940.912284216</v>
      </c>
      <c r="AB33" s="28">
        <v>0</v>
      </c>
      <c r="AC33" s="22">
        <v>510.7685662188947</v>
      </c>
      <c r="AD33" s="22">
        <v>130032.26806468972</v>
      </c>
      <c r="AE33" s="22">
        <v>0</v>
      </c>
      <c r="AF33" s="22">
        <v>10943.888595142738</v>
      </c>
      <c r="AG33" s="23">
        <v>141486.92522605136</v>
      </c>
      <c r="AH33" s="28">
        <v>0</v>
      </c>
      <c r="AI33" s="22">
        <v>588</v>
      </c>
      <c r="AJ33" s="22">
        <v>128570</v>
      </c>
      <c r="AK33" s="22">
        <v>0</v>
      </c>
      <c r="AL33" s="22">
        <v>10927</v>
      </c>
      <c r="AM33" s="23">
        <v>140085</v>
      </c>
      <c r="AO33" s="57">
        <f t="shared" si="1"/>
        <v>-1401.9252260513604</v>
      </c>
      <c r="AP33" s="50"/>
      <c r="AQ33" s="1"/>
    </row>
    <row r="34" spans="1:43" s="15" customFormat="1" ht="15.75" x14ac:dyDescent="0.25">
      <c r="A34" s="12"/>
      <c r="B34" s="16" t="s">
        <v>54</v>
      </c>
      <c r="C34" s="17" t="s">
        <v>55</v>
      </c>
      <c r="D34" s="28">
        <v>0</v>
      </c>
      <c r="E34" s="22">
        <v>9995.6742646710209</v>
      </c>
      <c r="F34" s="22">
        <v>83626.355992819241</v>
      </c>
      <c r="G34" s="22">
        <v>63.691055592398506</v>
      </c>
      <c r="H34" s="22">
        <v>8585.554293855319</v>
      </c>
      <c r="I34" s="23">
        <v>102271.27560693797</v>
      </c>
      <c r="J34" s="28">
        <v>0</v>
      </c>
      <c r="K34" s="22">
        <v>8290.4473890537356</v>
      </c>
      <c r="L34" s="22">
        <v>86213.023600095301</v>
      </c>
      <c r="M34" s="22">
        <v>63.577050529553183</v>
      </c>
      <c r="N34" s="22">
        <v>8409.9722440492951</v>
      </c>
      <c r="O34" s="23">
        <v>102977.02028372788</v>
      </c>
      <c r="P34" s="42">
        <v>0</v>
      </c>
      <c r="Q34" s="43">
        <v>6818.8841015694579</v>
      </c>
      <c r="R34" s="43">
        <v>88417.121989092106</v>
      </c>
      <c r="S34" s="43">
        <v>64.511675511536964</v>
      </c>
      <c r="T34" s="43">
        <v>8656.1766201380306</v>
      </c>
      <c r="U34" s="44">
        <v>103956.69438631114</v>
      </c>
      <c r="V34" s="28">
        <v>0</v>
      </c>
      <c r="W34" s="22">
        <v>6809.6476457478357</v>
      </c>
      <c r="X34" s="22">
        <v>89894.159881316693</v>
      </c>
      <c r="Y34" s="22">
        <v>65.489975435159025</v>
      </c>
      <c r="Z34" s="22">
        <v>9097.867387452292</v>
      </c>
      <c r="AA34" s="23">
        <v>105867.16488995199</v>
      </c>
      <c r="AB34" s="28">
        <v>0</v>
      </c>
      <c r="AC34" s="22">
        <v>7416.8972326206867</v>
      </c>
      <c r="AD34" s="22">
        <v>91489.403232250756</v>
      </c>
      <c r="AE34" s="22">
        <v>67.206390291959821</v>
      </c>
      <c r="AF34" s="22">
        <v>8227.4062995417225</v>
      </c>
      <c r="AG34" s="23">
        <v>107200.91315470512</v>
      </c>
      <c r="AH34" s="28">
        <v>0</v>
      </c>
      <c r="AI34" s="22">
        <v>7757</v>
      </c>
      <c r="AJ34" s="22">
        <v>91346</v>
      </c>
      <c r="AK34" s="22">
        <v>67</v>
      </c>
      <c r="AL34" s="22">
        <v>8214</v>
      </c>
      <c r="AM34" s="23">
        <v>107384</v>
      </c>
      <c r="AO34" s="57">
        <f t="shared" si="1"/>
        <v>183.086845294878</v>
      </c>
      <c r="AP34" s="50"/>
      <c r="AQ34" s="1"/>
    </row>
    <row r="35" spans="1:43" s="15" customFormat="1" ht="15.75" x14ac:dyDescent="0.25">
      <c r="A35" s="12"/>
      <c r="B35" s="16" t="s">
        <v>56</v>
      </c>
      <c r="C35" s="17" t="s">
        <v>57</v>
      </c>
      <c r="D35" s="28">
        <v>0</v>
      </c>
      <c r="E35" s="22">
        <v>1824.1118321662932</v>
      </c>
      <c r="F35" s="22">
        <v>39129.236913745946</v>
      </c>
      <c r="G35" s="22">
        <v>0</v>
      </c>
      <c r="H35" s="22">
        <v>18843.63570756702</v>
      </c>
      <c r="I35" s="23">
        <v>59796.984453479265</v>
      </c>
      <c r="J35" s="28">
        <v>0</v>
      </c>
      <c r="K35" s="22">
        <v>1242.2955673474692</v>
      </c>
      <c r="L35" s="22">
        <v>40380.327873340408</v>
      </c>
      <c r="M35" s="22">
        <v>0</v>
      </c>
      <c r="N35" s="22">
        <v>19928.86225899374</v>
      </c>
      <c r="O35" s="23">
        <v>61551.485699681623</v>
      </c>
      <c r="P35" s="42">
        <v>0</v>
      </c>
      <c r="Q35" s="43">
        <v>1096.6984836961285</v>
      </c>
      <c r="R35" s="43">
        <v>44525.958438062815</v>
      </c>
      <c r="S35" s="43">
        <v>0</v>
      </c>
      <c r="T35" s="43">
        <v>20563.741686057525</v>
      </c>
      <c r="U35" s="44">
        <v>66186.39860781646</v>
      </c>
      <c r="V35" s="28">
        <v>55.011579365533585</v>
      </c>
      <c r="W35" s="22">
        <v>3392.3807275412378</v>
      </c>
      <c r="X35" s="22">
        <v>46097.083909299741</v>
      </c>
      <c r="Y35" s="22">
        <v>0</v>
      </c>
      <c r="Z35" s="22">
        <v>20875.584569711293</v>
      </c>
      <c r="AA35" s="23">
        <v>70420.060785917813</v>
      </c>
      <c r="AB35" s="28">
        <v>0</v>
      </c>
      <c r="AC35" s="22">
        <v>1837.4227105821817</v>
      </c>
      <c r="AD35" s="22">
        <v>48587.531925475276</v>
      </c>
      <c r="AE35" s="22">
        <v>0</v>
      </c>
      <c r="AF35" s="22">
        <v>20817.851456837478</v>
      </c>
      <c r="AG35" s="23">
        <v>71242.806092894942</v>
      </c>
      <c r="AH35" s="28">
        <v>0</v>
      </c>
      <c r="AI35" s="22">
        <v>1476</v>
      </c>
      <c r="AJ35" s="22">
        <v>49965</v>
      </c>
      <c r="AK35" s="22">
        <v>0</v>
      </c>
      <c r="AL35" s="22">
        <v>20785</v>
      </c>
      <c r="AM35" s="23">
        <v>72226</v>
      </c>
      <c r="AO35" s="57">
        <f t="shared" si="1"/>
        <v>983.19390710505832</v>
      </c>
      <c r="AP35" s="50"/>
      <c r="AQ35" s="1"/>
    </row>
    <row r="36" spans="1:43" s="15" customFormat="1" ht="15.75" x14ac:dyDescent="0.25">
      <c r="A36" s="12"/>
      <c r="B36" s="16" t="s">
        <v>58</v>
      </c>
      <c r="C36" s="17" t="s">
        <v>59</v>
      </c>
      <c r="D36" s="29">
        <v>0</v>
      </c>
      <c r="E36" s="21">
        <v>624.1723448055053</v>
      </c>
      <c r="F36" s="21">
        <v>313747.23513260245</v>
      </c>
      <c r="G36" s="21">
        <v>1477.6324897436452</v>
      </c>
      <c r="H36" s="21">
        <v>0</v>
      </c>
      <c r="I36" s="23">
        <v>315849.03996715159</v>
      </c>
      <c r="J36" s="29">
        <v>0</v>
      </c>
      <c r="K36" s="21">
        <v>279.739022330034</v>
      </c>
      <c r="L36" s="21">
        <v>314707.67166229885</v>
      </c>
      <c r="M36" s="21">
        <v>1474.9875722856339</v>
      </c>
      <c r="N36" s="21">
        <v>0</v>
      </c>
      <c r="O36" s="23">
        <v>316462.39825691452</v>
      </c>
      <c r="P36" s="45">
        <v>0</v>
      </c>
      <c r="Q36" s="46">
        <v>283.85137225076267</v>
      </c>
      <c r="R36" s="46">
        <v>368706.15951810771</v>
      </c>
      <c r="S36" s="46">
        <v>1496.6708718676578</v>
      </c>
      <c r="T36" s="46">
        <v>0</v>
      </c>
      <c r="U36" s="44">
        <v>370486.68176222616</v>
      </c>
      <c r="V36" s="29">
        <v>0</v>
      </c>
      <c r="W36" s="21">
        <v>191.23072827066437</v>
      </c>
      <c r="X36" s="21">
        <v>373155.33103199262</v>
      </c>
      <c r="Y36" s="21">
        <v>1519.3674300956895</v>
      </c>
      <c r="Z36" s="21">
        <v>0</v>
      </c>
      <c r="AA36" s="23">
        <v>374865.92919035896</v>
      </c>
      <c r="AB36" s="29">
        <v>0</v>
      </c>
      <c r="AC36" s="21">
        <v>196.24265965252269</v>
      </c>
      <c r="AD36" s="21">
        <v>382854.64357620757</v>
      </c>
      <c r="AE36" s="21">
        <v>1559.1882547734681</v>
      </c>
      <c r="AF36" s="21">
        <v>0</v>
      </c>
      <c r="AG36" s="23">
        <v>384610.07449063356</v>
      </c>
      <c r="AH36" s="29">
        <v>35150</v>
      </c>
      <c r="AI36" s="21">
        <v>0</v>
      </c>
      <c r="AJ36" s="21">
        <v>383494</v>
      </c>
      <c r="AK36" s="21">
        <v>1559</v>
      </c>
      <c r="AL36" s="21">
        <v>0</v>
      </c>
      <c r="AM36" s="23">
        <v>420203</v>
      </c>
      <c r="AO36" s="57">
        <f t="shared" si="1"/>
        <v>35592.92550936644</v>
      </c>
      <c r="AP36" s="50"/>
      <c r="AQ36" s="1"/>
    </row>
    <row r="37" spans="1:43" s="15" customFormat="1" ht="15.75" x14ac:dyDescent="0.25">
      <c r="A37" s="12"/>
      <c r="B37" s="16" t="s">
        <v>60</v>
      </c>
      <c r="C37" s="17" t="s">
        <v>61</v>
      </c>
      <c r="D37" s="28">
        <v>0</v>
      </c>
      <c r="E37" s="22">
        <v>11545.914557790002</v>
      </c>
      <c r="F37" s="22">
        <v>58942.250487429272</v>
      </c>
      <c r="G37" s="22">
        <v>0</v>
      </c>
      <c r="H37" s="22">
        <v>305.71706684351284</v>
      </c>
      <c r="I37" s="23">
        <v>70793.882112062784</v>
      </c>
      <c r="J37" s="28">
        <v>0</v>
      </c>
      <c r="K37" s="22">
        <v>10137.99647744255</v>
      </c>
      <c r="L37" s="22">
        <v>60351.150985683649</v>
      </c>
      <c r="M37" s="22">
        <v>0</v>
      </c>
      <c r="N37" s="22">
        <v>305.16984254185525</v>
      </c>
      <c r="O37" s="23">
        <v>70794.317305668053</v>
      </c>
      <c r="P37" s="42">
        <v>0</v>
      </c>
      <c r="Q37" s="43">
        <v>8807.1339408350268</v>
      </c>
      <c r="R37" s="43">
        <v>61511.882600250501</v>
      </c>
      <c r="S37" s="43">
        <v>0</v>
      </c>
      <c r="T37" s="43">
        <v>309.65604245537747</v>
      </c>
      <c r="U37" s="44">
        <v>70628.672583540902</v>
      </c>
      <c r="V37" s="28">
        <v>0</v>
      </c>
      <c r="W37" s="22">
        <v>6913.1218069353872</v>
      </c>
      <c r="X37" s="22">
        <v>64824.597284737814</v>
      </c>
      <c r="Y37" s="22">
        <v>0</v>
      </c>
      <c r="Z37" s="22">
        <v>314.35188208876338</v>
      </c>
      <c r="AA37" s="23">
        <v>72052.070973761976</v>
      </c>
      <c r="AB37" s="28">
        <v>0</v>
      </c>
      <c r="AC37" s="22">
        <v>6287.8298757157618</v>
      </c>
      <c r="AD37" s="22">
        <v>67330.050050097037</v>
      </c>
      <c r="AE37" s="22">
        <v>0</v>
      </c>
      <c r="AF37" s="22">
        <v>322.59067340140717</v>
      </c>
      <c r="AG37" s="23">
        <v>73940.470599214212</v>
      </c>
      <c r="AH37" s="28">
        <v>0</v>
      </c>
      <c r="AI37" s="22">
        <v>5661</v>
      </c>
      <c r="AJ37" s="22">
        <v>68355</v>
      </c>
      <c r="AK37" s="22">
        <v>0</v>
      </c>
      <c r="AL37" s="22">
        <v>322</v>
      </c>
      <c r="AM37" s="23">
        <v>74338</v>
      </c>
      <c r="AO37" s="57">
        <f t="shared" si="1"/>
        <v>397.52940078578831</v>
      </c>
      <c r="AP37" s="50"/>
      <c r="AQ37" s="1"/>
    </row>
    <row r="38" spans="1:43" s="15" customFormat="1" ht="15.75" x14ac:dyDescent="0.25">
      <c r="A38" s="12"/>
      <c r="B38" s="16" t="s">
        <v>62</v>
      </c>
      <c r="C38" s="17" t="s">
        <v>63</v>
      </c>
      <c r="D38" s="28">
        <v>0</v>
      </c>
      <c r="E38" s="22">
        <v>445.83738914678952</v>
      </c>
      <c r="F38" s="22">
        <v>32022.588930746118</v>
      </c>
      <c r="G38" s="22">
        <v>1369.3576952365679</v>
      </c>
      <c r="H38" s="22">
        <v>21132.692245557824</v>
      </c>
      <c r="I38" s="23">
        <v>54970.476260687297</v>
      </c>
      <c r="J38" s="28">
        <v>0</v>
      </c>
      <c r="K38" s="22">
        <v>445.03935370687225</v>
      </c>
      <c r="L38" s="22">
        <v>31965.269465248748</v>
      </c>
      <c r="M38" s="22">
        <v>1366.9065863853934</v>
      </c>
      <c r="N38" s="22">
        <v>21247.450286976673</v>
      </c>
      <c r="O38" s="23">
        <v>55024.665692317685</v>
      </c>
      <c r="P38" s="42">
        <v>0</v>
      </c>
      <c r="Q38" s="43">
        <v>570.2832115219868</v>
      </c>
      <c r="R38" s="43">
        <v>32435.180213690557</v>
      </c>
      <c r="S38" s="43">
        <v>1387.0010234980448</v>
      </c>
      <c r="T38" s="43">
        <v>21404.973934727968</v>
      </c>
      <c r="U38" s="44">
        <v>55797.438383438559</v>
      </c>
      <c r="V38" s="28">
        <v>0</v>
      </c>
      <c r="W38" s="22">
        <v>120.50155480069262</v>
      </c>
      <c r="X38" s="22">
        <v>33385.479677335374</v>
      </c>
      <c r="Y38" s="22">
        <v>1408.0344718559193</v>
      </c>
      <c r="Z38" s="22">
        <v>21729.573849385768</v>
      </c>
      <c r="AA38" s="23">
        <v>56643.589553377751</v>
      </c>
      <c r="AB38" s="28">
        <v>0</v>
      </c>
      <c r="AC38" s="22">
        <v>123.65975813720608</v>
      </c>
      <c r="AD38" s="22">
        <v>34260.473643035279</v>
      </c>
      <c r="AE38" s="22">
        <v>1444.9373912771364</v>
      </c>
      <c r="AF38" s="22">
        <v>22299.080298872272</v>
      </c>
      <c r="AG38" s="23">
        <v>58128.151091321888</v>
      </c>
      <c r="AH38" s="28">
        <v>0</v>
      </c>
      <c r="AI38" s="22">
        <v>123</v>
      </c>
      <c r="AJ38" s="22">
        <v>34207</v>
      </c>
      <c r="AK38" s="22">
        <v>1445</v>
      </c>
      <c r="AL38" s="22">
        <v>22264</v>
      </c>
      <c r="AM38" s="23">
        <v>58039</v>
      </c>
      <c r="AO38" s="57">
        <f t="shared" si="1"/>
        <v>-89.151091321888089</v>
      </c>
      <c r="AP38" s="50"/>
      <c r="AQ38" s="1"/>
    </row>
    <row r="39" spans="1:43" s="15" customFormat="1" ht="15.75" x14ac:dyDescent="0.25">
      <c r="A39" s="12"/>
      <c r="B39" s="16" t="s">
        <v>64</v>
      </c>
      <c r="C39" s="17" t="s">
        <v>65</v>
      </c>
      <c r="D39" s="28">
        <v>0</v>
      </c>
      <c r="E39" s="22">
        <v>17332.883868915327</v>
      </c>
      <c r="F39" s="22">
        <v>43506.086254055568</v>
      </c>
      <c r="G39" s="22">
        <v>0</v>
      </c>
      <c r="H39" s="22">
        <v>5001.0216851151308</v>
      </c>
      <c r="I39" s="23">
        <v>65839.991808086023</v>
      </c>
      <c r="J39" s="28">
        <v>0</v>
      </c>
      <c r="K39" s="22">
        <v>6266.1541001927617</v>
      </c>
      <c r="L39" s="22">
        <v>55196.323728747484</v>
      </c>
      <c r="M39" s="22">
        <v>0</v>
      </c>
      <c r="N39" s="22">
        <v>4992.0700075805162</v>
      </c>
      <c r="O39" s="23">
        <v>66454.547836520767</v>
      </c>
      <c r="P39" s="42">
        <v>0</v>
      </c>
      <c r="Q39" s="43">
        <v>4723.544880954737</v>
      </c>
      <c r="R39" s="43">
        <v>57638.601602537819</v>
      </c>
      <c r="S39" s="43">
        <v>0</v>
      </c>
      <c r="T39" s="43">
        <v>5065.4567611658831</v>
      </c>
      <c r="U39" s="44">
        <v>67427.603244658443</v>
      </c>
      <c r="V39" s="28">
        <v>0</v>
      </c>
      <c r="W39" s="22">
        <v>5857.4234029206236</v>
      </c>
      <c r="X39" s="22">
        <v>58696.045383515637</v>
      </c>
      <c r="Y39" s="22">
        <v>0</v>
      </c>
      <c r="Z39" s="22">
        <v>5142.2728711686868</v>
      </c>
      <c r="AA39" s="23">
        <v>69695.741657604958</v>
      </c>
      <c r="AB39" s="28">
        <v>0</v>
      </c>
      <c r="AC39" s="22">
        <v>10433.120028923844</v>
      </c>
      <c r="AD39" s="22">
        <v>56144.218449903237</v>
      </c>
      <c r="AE39" s="22">
        <v>0</v>
      </c>
      <c r="AF39" s="22">
        <v>5277.0457657246852</v>
      </c>
      <c r="AG39" s="23">
        <v>71854.384244551766</v>
      </c>
      <c r="AH39" s="28">
        <v>0</v>
      </c>
      <c r="AI39" s="22">
        <v>10417</v>
      </c>
      <c r="AJ39" s="22">
        <v>56282</v>
      </c>
      <c r="AK39" s="22">
        <v>0</v>
      </c>
      <c r="AL39" s="22">
        <v>5269</v>
      </c>
      <c r="AM39" s="23">
        <v>71968</v>
      </c>
      <c r="AO39" s="57">
        <f t="shared" si="1"/>
        <v>113.61575544823427</v>
      </c>
      <c r="AP39" s="50"/>
      <c r="AQ39" s="1"/>
    </row>
    <row r="40" spans="1:43" s="15" customFormat="1" ht="15.75" x14ac:dyDescent="0.25">
      <c r="A40" s="12"/>
      <c r="B40" s="16" t="s">
        <v>66</v>
      </c>
      <c r="C40" s="17" t="s">
        <v>67</v>
      </c>
      <c r="D40" s="28">
        <v>0</v>
      </c>
      <c r="E40" s="22">
        <v>0</v>
      </c>
      <c r="F40" s="22">
        <v>73502.025795851572</v>
      </c>
      <c r="G40" s="22">
        <v>191.07316677719552</v>
      </c>
      <c r="H40" s="22">
        <v>2487.7726314390857</v>
      </c>
      <c r="I40" s="23">
        <v>76180.871594067852</v>
      </c>
      <c r="J40" s="28">
        <v>0</v>
      </c>
      <c r="K40" s="22">
        <v>0</v>
      </c>
      <c r="L40" s="22">
        <v>73370.459393125551</v>
      </c>
      <c r="M40" s="22">
        <v>190.73115158865954</v>
      </c>
      <c r="N40" s="22">
        <v>2559.6120543198113</v>
      </c>
      <c r="O40" s="23">
        <v>76120.80259903401</v>
      </c>
      <c r="P40" s="42">
        <v>0</v>
      </c>
      <c r="Q40" s="43">
        <v>0</v>
      </c>
      <c r="R40" s="43">
        <v>34847.916877822041</v>
      </c>
      <c r="S40" s="43">
        <v>193.53502653461092</v>
      </c>
      <c r="T40" s="43">
        <v>2519.8260454806341</v>
      </c>
      <c r="U40" s="44">
        <v>37561.277949837291</v>
      </c>
      <c r="V40" s="28">
        <v>0</v>
      </c>
      <c r="W40" s="22">
        <v>0</v>
      </c>
      <c r="X40" s="22">
        <v>36817.154390137701</v>
      </c>
      <c r="Y40" s="22">
        <v>196.46992630547709</v>
      </c>
      <c r="Z40" s="22">
        <v>2558.038440497312</v>
      </c>
      <c r="AA40" s="23">
        <v>39571.662756940495</v>
      </c>
      <c r="AB40" s="28">
        <v>0</v>
      </c>
      <c r="AC40" s="22">
        <v>0</v>
      </c>
      <c r="AD40" s="22">
        <v>37782.088494333977</v>
      </c>
      <c r="AE40" s="22">
        <v>201.61917087587949</v>
      </c>
      <c r="AF40" s="22">
        <v>2625.081604803951</v>
      </c>
      <c r="AG40" s="23">
        <v>40608.789270013804</v>
      </c>
      <c r="AH40" s="28">
        <v>0</v>
      </c>
      <c r="AI40" s="22">
        <v>0</v>
      </c>
      <c r="AJ40" s="22">
        <v>37723</v>
      </c>
      <c r="AK40" s="22">
        <v>201</v>
      </c>
      <c r="AL40" s="22">
        <v>2621</v>
      </c>
      <c r="AM40" s="23">
        <v>40545</v>
      </c>
      <c r="AO40" s="57">
        <f t="shared" si="1"/>
        <v>-63.789270013803616</v>
      </c>
      <c r="AP40" s="50"/>
      <c r="AQ40" s="1"/>
    </row>
    <row r="41" spans="1:43" s="15" customFormat="1" ht="15.75" x14ac:dyDescent="0.25">
      <c r="A41" s="12"/>
      <c r="B41" s="16" t="s">
        <v>68</v>
      </c>
      <c r="C41" s="17" t="s">
        <v>69</v>
      </c>
      <c r="D41" s="28">
        <v>0</v>
      </c>
      <c r="E41" s="22">
        <v>30.571706684351284</v>
      </c>
      <c r="F41" s="22">
        <v>10444.059296041507</v>
      </c>
      <c r="G41" s="22">
        <v>0</v>
      </c>
      <c r="H41" s="22">
        <v>611.43413368702568</v>
      </c>
      <c r="I41" s="23">
        <v>11086.065136412884</v>
      </c>
      <c r="J41" s="28">
        <v>0</v>
      </c>
      <c r="K41" s="22">
        <v>3297.1058404626278</v>
      </c>
      <c r="L41" s="22">
        <v>10425.36474583613</v>
      </c>
      <c r="M41" s="22">
        <v>0</v>
      </c>
      <c r="N41" s="22">
        <v>610.33968508371049</v>
      </c>
      <c r="O41" s="23">
        <v>14332.810271382468</v>
      </c>
      <c r="P41" s="42">
        <v>0</v>
      </c>
      <c r="Q41" s="43">
        <v>30.965604245537747</v>
      </c>
      <c r="R41" s="43">
        <v>13561.644426035302</v>
      </c>
      <c r="S41" s="43">
        <v>0</v>
      </c>
      <c r="T41" s="43">
        <v>619.31208491075495</v>
      </c>
      <c r="U41" s="44">
        <v>14211.922115191594</v>
      </c>
      <c r="V41" s="28">
        <v>0</v>
      </c>
      <c r="W41" s="22">
        <v>31.435188208876333</v>
      </c>
      <c r="X41" s="22">
        <v>14194.297275816369</v>
      </c>
      <c r="Y41" s="22">
        <v>0</v>
      </c>
      <c r="Z41" s="22">
        <v>628.70376417752675</v>
      </c>
      <c r="AA41" s="23">
        <v>14854.436228202771</v>
      </c>
      <c r="AB41" s="28">
        <v>0</v>
      </c>
      <c r="AC41" s="22">
        <v>32.259067340140717</v>
      </c>
      <c r="AD41" s="22">
        <v>14566.313031879374</v>
      </c>
      <c r="AE41" s="22">
        <v>0</v>
      </c>
      <c r="AF41" s="22">
        <v>309.14939534301521</v>
      </c>
      <c r="AG41" s="23">
        <v>14907.721494562529</v>
      </c>
      <c r="AH41" s="28">
        <v>0</v>
      </c>
      <c r="AI41" s="22">
        <v>32</v>
      </c>
      <c r="AJ41" s="22">
        <v>14544</v>
      </c>
      <c r="AK41" s="22">
        <v>0</v>
      </c>
      <c r="AL41" s="22">
        <v>309</v>
      </c>
      <c r="AM41" s="23">
        <v>14885</v>
      </c>
      <c r="AO41" s="57">
        <f t="shared" si="1"/>
        <v>-22.721494562529188</v>
      </c>
      <c r="AP41" s="50"/>
      <c r="AQ41" s="1"/>
    </row>
    <row r="42" spans="1:43" s="15" customFormat="1" ht="15.75" x14ac:dyDescent="0.25">
      <c r="A42" s="12"/>
      <c r="B42" s="16" t="s">
        <v>70</v>
      </c>
      <c r="C42" s="17" t="s">
        <v>71</v>
      </c>
      <c r="D42" s="28">
        <v>0</v>
      </c>
      <c r="E42" s="22">
        <v>155.40617564545235</v>
      </c>
      <c r="F42" s="22">
        <v>28862.238752251305</v>
      </c>
      <c r="G42" s="22">
        <v>0</v>
      </c>
      <c r="H42" s="22">
        <v>13131.821842040723</v>
      </c>
      <c r="I42" s="23">
        <v>42149.466769937484</v>
      </c>
      <c r="J42" s="28">
        <v>0</v>
      </c>
      <c r="K42" s="22">
        <v>0</v>
      </c>
      <c r="L42" s="22">
        <v>28965.70422126443</v>
      </c>
      <c r="M42" s="22">
        <v>0</v>
      </c>
      <c r="N42" s="22">
        <v>13108.316278183274</v>
      </c>
      <c r="O42" s="23">
        <v>42074.020499447703</v>
      </c>
      <c r="P42" s="42">
        <v>0</v>
      </c>
      <c r="Q42" s="43">
        <v>0</v>
      </c>
      <c r="R42" s="43">
        <v>29576.022755019239</v>
      </c>
      <c r="S42" s="43">
        <v>0</v>
      </c>
      <c r="T42" s="43">
        <v>13301.017256968693</v>
      </c>
      <c r="U42" s="44">
        <v>42877.040011987934</v>
      </c>
      <c r="V42" s="28">
        <v>0</v>
      </c>
      <c r="W42" s="22">
        <v>0</v>
      </c>
      <c r="X42" s="22">
        <v>30024.534138003008</v>
      </c>
      <c r="Y42" s="22">
        <v>0</v>
      </c>
      <c r="Z42" s="22">
        <v>13502.723135221089</v>
      </c>
      <c r="AA42" s="23">
        <v>43527.257273224095</v>
      </c>
      <c r="AB42" s="28">
        <v>0</v>
      </c>
      <c r="AC42" s="22">
        <v>0</v>
      </c>
      <c r="AD42" s="22">
        <v>30685.093679503017</v>
      </c>
      <c r="AE42" s="22">
        <v>0</v>
      </c>
      <c r="AF42" s="22">
        <v>13856.613550396278</v>
      </c>
      <c r="AG42" s="23">
        <v>44541.707229899293</v>
      </c>
      <c r="AH42" s="28">
        <v>0</v>
      </c>
      <c r="AI42" s="22">
        <v>0</v>
      </c>
      <c r="AJ42" s="22">
        <v>31122</v>
      </c>
      <c r="AK42" s="22">
        <v>0</v>
      </c>
      <c r="AL42" s="22">
        <v>13835</v>
      </c>
      <c r="AM42" s="23">
        <v>44957</v>
      </c>
      <c r="AO42" s="57">
        <f t="shared" si="1"/>
        <v>415.29277010070655</v>
      </c>
      <c r="AP42" s="50"/>
      <c r="AQ42" s="1"/>
    </row>
    <row r="43" spans="1:43" s="15" customFormat="1" ht="15.75" x14ac:dyDescent="0.25">
      <c r="A43" s="12"/>
      <c r="B43" s="16" t="s">
        <v>72</v>
      </c>
      <c r="C43" s="17" t="s">
        <v>73</v>
      </c>
      <c r="D43" s="28">
        <v>0</v>
      </c>
      <c r="E43" s="22">
        <v>0</v>
      </c>
      <c r="F43" s="22">
        <v>9351.1207820759482</v>
      </c>
      <c r="G43" s="22">
        <v>0</v>
      </c>
      <c r="H43" s="22">
        <v>27717.073572699981</v>
      </c>
      <c r="I43" s="23">
        <v>37068.194354775929</v>
      </c>
      <c r="J43" s="28">
        <v>0</v>
      </c>
      <c r="K43" s="22">
        <v>0</v>
      </c>
      <c r="L43" s="22">
        <v>9334.3825587489973</v>
      </c>
      <c r="M43" s="22">
        <v>0</v>
      </c>
      <c r="N43" s="22">
        <v>27667.460849450952</v>
      </c>
      <c r="O43" s="23">
        <v>37001.843408199951</v>
      </c>
      <c r="P43" s="42">
        <v>0</v>
      </c>
      <c r="Q43" s="43">
        <v>0</v>
      </c>
      <c r="R43" s="43">
        <v>9471.6041986038581</v>
      </c>
      <c r="S43" s="43">
        <v>0</v>
      </c>
      <c r="T43" s="43">
        <v>28074.19094911066</v>
      </c>
      <c r="U43" s="44">
        <v>37545.795147714518</v>
      </c>
      <c r="V43" s="28">
        <v>0</v>
      </c>
      <c r="W43" s="22">
        <v>0</v>
      </c>
      <c r="X43" s="22">
        <v>9794.6807260823844</v>
      </c>
      <c r="Y43" s="22">
        <v>0</v>
      </c>
      <c r="Z43" s="22">
        <v>28499.927509872508</v>
      </c>
      <c r="AA43" s="23">
        <v>38294.608235954889</v>
      </c>
      <c r="AB43" s="28">
        <v>0</v>
      </c>
      <c r="AC43" s="22">
        <v>450.28281495613084</v>
      </c>
      <c r="AD43" s="22">
        <v>12462.753015741031</v>
      </c>
      <c r="AE43" s="22">
        <v>0</v>
      </c>
      <c r="AF43" s="22">
        <v>29246.876927255078</v>
      </c>
      <c r="AG43" s="23">
        <v>42159.912757952239</v>
      </c>
      <c r="AH43" s="28">
        <v>0</v>
      </c>
      <c r="AI43" s="22">
        <v>58</v>
      </c>
      <c r="AJ43" s="22">
        <v>13918</v>
      </c>
      <c r="AK43" s="22">
        <v>0</v>
      </c>
      <c r="AL43" s="22">
        <v>29201</v>
      </c>
      <c r="AM43" s="23">
        <v>43177</v>
      </c>
      <c r="AO43" s="57">
        <f t="shared" si="1"/>
        <v>1017.0872420477608</v>
      </c>
      <c r="AP43" s="50"/>
      <c r="AQ43" s="1"/>
    </row>
    <row r="44" spans="1:43" s="15" customFormat="1" ht="15.75" x14ac:dyDescent="0.25">
      <c r="A44" s="12"/>
      <c r="B44" s="16" t="s">
        <v>74</v>
      </c>
      <c r="C44" s="17" t="s">
        <v>75</v>
      </c>
      <c r="D44" s="28">
        <v>0</v>
      </c>
      <c r="E44" s="22">
        <v>0</v>
      </c>
      <c r="F44" s="22">
        <v>8209.7770658601676</v>
      </c>
      <c r="G44" s="22">
        <v>0</v>
      </c>
      <c r="H44" s="22">
        <v>2952.7173372635948</v>
      </c>
      <c r="I44" s="23">
        <v>11162.494403123763</v>
      </c>
      <c r="J44" s="28">
        <v>0</v>
      </c>
      <c r="K44" s="22">
        <v>0</v>
      </c>
      <c r="L44" s="22">
        <v>8195.081813259405</v>
      </c>
      <c r="M44" s="22">
        <v>0</v>
      </c>
      <c r="N44" s="22">
        <v>2947.4320625500854</v>
      </c>
      <c r="O44" s="23">
        <v>11142.513875809491</v>
      </c>
      <c r="P44" s="42">
        <v>0</v>
      </c>
      <c r="Q44" s="43">
        <v>0</v>
      </c>
      <c r="R44" s="43">
        <v>8223.9483942107327</v>
      </c>
      <c r="S44" s="43">
        <v>0</v>
      </c>
      <c r="T44" s="43">
        <v>2990.7612767148539</v>
      </c>
      <c r="U44" s="44">
        <v>11214.709670925586</v>
      </c>
      <c r="V44" s="28">
        <v>0</v>
      </c>
      <c r="W44" s="22">
        <v>0</v>
      </c>
      <c r="X44" s="22">
        <v>8346.0424694566664</v>
      </c>
      <c r="Y44" s="22">
        <v>0</v>
      </c>
      <c r="Z44" s="22">
        <v>3036.1152611739726</v>
      </c>
      <c r="AA44" s="23">
        <v>11382.157730630639</v>
      </c>
      <c r="AB44" s="28">
        <v>0</v>
      </c>
      <c r="AC44" s="22">
        <v>0</v>
      </c>
      <c r="AD44" s="22">
        <v>9363.1942954758433</v>
      </c>
      <c r="AE44" s="22">
        <v>0</v>
      </c>
      <c r="AF44" s="22">
        <v>3115.6882539352578</v>
      </c>
      <c r="AG44" s="23">
        <v>12478.882549411101</v>
      </c>
      <c r="AH44" s="28">
        <v>0</v>
      </c>
      <c r="AI44" s="22">
        <v>0</v>
      </c>
      <c r="AJ44" s="22">
        <v>9349</v>
      </c>
      <c r="AK44" s="22">
        <v>0</v>
      </c>
      <c r="AL44" s="22">
        <v>3111</v>
      </c>
      <c r="AM44" s="23">
        <v>12460</v>
      </c>
      <c r="AO44" s="57">
        <f t="shared" si="1"/>
        <v>-18.882549411100626</v>
      </c>
      <c r="AP44" s="50"/>
      <c r="AQ44" s="1"/>
    </row>
    <row r="45" spans="1:43" s="15" customFormat="1" ht="15.75" x14ac:dyDescent="0.25">
      <c r="A45" s="12"/>
      <c r="B45" s="16" t="s">
        <v>76</v>
      </c>
      <c r="C45" s="17" t="s">
        <v>77</v>
      </c>
      <c r="D45" s="28">
        <v>0</v>
      </c>
      <c r="E45" s="22">
        <v>788.49526823389351</v>
      </c>
      <c r="F45" s="22">
        <v>24419.150714125586</v>
      </c>
      <c r="G45" s="22">
        <v>777.03087822726172</v>
      </c>
      <c r="H45" s="22">
        <v>1110.7720095314298</v>
      </c>
      <c r="I45" s="23">
        <v>27095.448870118169</v>
      </c>
      <c r="J45" s="28">
        <v>0</v>
      </c>
      <c r="K45" s="22">
        <v>787.08388555586839</v>
      </c>
      <c r="L45" s="22">
        <v>24375.441173030689</v>
      </c>
      <c r="M45" s="22">
        <v>775.64001646054885</v>
      </c>
      <c r="N45" s="22">
        <v>1108.7837612354074</v>
      </c>
      <c r="O45" s="23">
        <v>27046.948836282514</v>
      </c>
      <c r="P45" s="42">
        <v>0</v>
      </c>
      <c r="Q45" s="43">
        <v>798.6545428328277</v>
      </c>
      <c r="R45" s="43">
        <v>25169.875317581264</v>
      </c>
      <c r="S45" s="43">
        <v>787.04244124075103</v>
      </c>
      <c r="T45" s="43">
        <v>1125.0836209212048</v>
      </c>
      <c r="U45" s="44">
        <v>27880.65592257605</v>
      </c>
      <c r="V45" s="28">
        <v>0</v>
      </c>
      <c r="W45" s="22">
        <v>180.75233220103894</v>
      </c>
      <c r="X45" s="22">
        <v>26362.334711668915</v>
      </c>
      <c r="Y45" s="22">
        <v>798.97770030894014</v>
      </c>
      <c r="Z45" s="22">
        <v>1142.1451715891735</v>
      </c>
      <c r="AA45" s="23">
        <v>28484.209915768068</v>
      </c>
      <c r="AB45" s="28">
        <v>0</v>
      </c>
      <c r="AC45" s="22">
        <v>0</v>
      </c>
      <c r="AD45" s="22">
        <v>28605.72796386978</v>
      </c>
      <c r="AE45" s="22">
        <v>819.91796156190992</v>
      </c>
      <c r="AF45" s="22">
        <v>1172.0794466917794</v>
      </c>
      <c r="AG45" s="23">
        <v>30597.72537212347</v>
      </c>
      <c r="AH45" s="28">
        <v>0</v>
      </c>
      <c r="AI45" s="22">
        <v>0</v>
      </c>
      <c r="AJ45" s="22">
        <v>28593</v>
      </c>
      <c r="AK45" s="22">
        <v>820</v>
      </c>
      <c r="AL45" s="22">
        <v>1170</v>
      </c>
      <c r="AM45" s="23">
        <v>30583</v>
      </c>
      <c r="AO45" s="57">
        <f t="shared" si="1"/>
        <v>-14.725372123470152</v>
      </c>
      <c r="AP45" s="50"/>
      <c r="AQ45" s="1"/>
    </row>
    <row r="46" spans="1:43" s="15" customFormat="1" ht="15.75" x14ac:dyDescent="0.25">
      <c r="A46" s="12"/>
      <c r="B46" s="16" t="s">
        <v>78</v>
      </c>
      <c r="C46" s="17" t="s">
        <v>79</v>
      </c>
      <c r="D46" s="28">
        <v>0</v>
      </c>
      <c r="E46" s="22">
        <v>3389.6379786274483</v>
      </c>
      <c r="F46" s="22">
        <v>67689.580062489287</v>
      </c>
      <c r="G46" s="22">
        <v>0</v>
      </c>
      <c r="H46" s="22">
        <v>22755.540342052136</v>
      </c>
      <c r="I46" s="23">
        <v>93834.758383168868</v>
      </c>
      <c r="J46" s="28">
        <v>0</v>
      </c>
      <c r="K46" s="22">
        <v>3519.6255173160639</v>
      </c>
      <c r="L46" s="22">
        <v>68305.911547941345</v>
      </c>
      <c r="M46" s="22">
        <v>0</v>
      </c>
      <c r="N46" s="22">
        <v>22714.808613198762</v>
      </c>
      <c r="O46" s="23">
        <v>94540.345678456171</v>
      </c>
      <c r="P46" s="42">
        <v>0</v>
      </c>
      <c r="Q46" s="43">
        <v>3505.5644472969188</v>
      </c>
      <c r="R46" s="43">
        <v>68277.867127900492</v>
      </c>
      <c r="S46" s="43">
        <v>0</v>
      </c>
      <c r="T46" s="43">
        <v>23048.731426761929</v>
      </c>
      <c r="U46" s="44">
        <v>94832.163001959329</v>
      </c>
      <c r="V46" s="28">
        <v>0</v>
      </c>
      <c r="W46" s="22">
        <v>2791.182753046478</v>
      </c>
      <c r="X46" s="22">
        <v>70499.958555948702</v>
      </c>
      <c r="Y46" s="22">
        <v>0</v>
      </c>
      <c r="Z46" s="22">
        <v>23398.25842347362</v>
      </c>
      <c r="AA46" s="23">
        <v>96689.399732468795</v>
      </c>
      <c r="AB46" s="28">
        <v>0</v>
      </c>
      <c r="AC46" s="22">
        <v>383.07642466417104</v>
      </c>
      <c r="AD46" s="22">
        <v>74623.287524580519</v>
      </c>
      <c r="AE46" s="22">
        <v>0</v>
      </c>
      <c r="AF46" s="22">
        <v>24170.106204600434</v>
      </c>
      <c r="AG46" s="23">
        <v>99176.470153845134</v>
      </c>
      <c r="AH46" s="28">
        <v>2331</v>
      </c>
      <c r="AI46" s="22">
        <v>0</v>
      </c>
      <c r="AJ46" s="22">
        <v>76122</v>
      </c>
      <c r="AK46" s="22">
        <v>0</v>
      </c>
      <c r="AL46" s="22">
        <v>24132</v>
      </c>
      <c r="AM46" s="23">
        <v>102585</v>
      </c>
      <c r="AO46" s="57">
        <f t="shared" si="1"/>
        <v>3408.5298461548664</v>
      </c>
      <c r="AP46" s="50"/>
      <c r="AQ46" s="1"/>
    </row>
    <row r="47" spans="1:43" s="15" customFormat="1" ht="15.75" x14ac:dyDescent="0.25">
      <c r="A47" s="12"/>
      <c r="B47" s="16" t="s">
        <v>80</v>
      </c>
      <c r="C47" s="17" t="s">
        <v>81</v>
      </c>
      <c r="D47" s="28">
        <v>4114.4421912689431</v>
      </c>
      <c r="E47" s="22">
        <v>619.0770603581135</v>
      </c>
      <c r="F47" s="22">
        <v>60581.658258377611</v>
      </c>
      <c r="G47" s="22">
        <v>0</v>
      </c>
      <c r="H47" s="22">
        <v>1120.9625784262137</v>
      </c>
      <c r="I47" s="23">
        <v>66436.140088430882</v>
      </c>
      <c r="J47" s="28">
        <v>3239.8864949860299</v>
      </c>
      <c r="K47" s="22">
        <v>8985.9803218470461</v>
      </c>
      <c r="L47" s="22">
        <v>66482.521738753756</v>
      </c>
      <c r="M47" s="22">
        <v>0</v>
      </c>
      <c r="N47" s="22">
        <v>1118.956089320136</v>
      </c>
      <c r="O47" s="23">
        <v>79827.344644906974</v>
      </c>
      <c r="P47" s="42">
        <v>5096.4223654114203</v>
      </c>
      <c r="Q47" s="43">
        <v>0</v>
      </c>
      <c r="R47" s="43">
        <v>80049.957675245765</v>
      </c>
      <c r="S47" s="43">
        <v>0</v>
      </c>
      <c r="T47" s="43">
        <v>1135.4054890030507</v>
      </c>
      <c r="U47" s="44">
        <v>86281.785529660236</v>
      </c>
      <c r="V47" s="28">
        <v>6592.2209273031085</v>
      </c>
      <c r="W47" s="22">
        <v>222.6659164795407</v>
      </c>
      <c r="X47" s="22">
        <v>83178.81780019548</v>
      </c>
      <c r="Y47" s="22">
        <v>0</v>
      </c>
      <c r="Z47" s="22">
        <v>1152.6235676587989</v>
      </c>
      <c r="AA47" s="23">
        <v>91146.328211636923</v>
      </c>
      <c r="AB47" s="28">
        <v>8109.1230526278732</v>
      </c>
      <c r="AC47" s="22">
        <v>1455.6904137238498</v>
      </c>
      <c r="AD47" s="22">
        <v>85431.419211333487</v>
      </c>
      <c r="AE47" s="22">
        <v>0</v>
      </c>
      <c r="AF47" s="22">
        <v>1352.1925726742318</v>
      </c>
      <c r="AG47" s="23">
        <v>96348.425250359447</v>
      </c>
      <c r="AH47" s="28">
        <v>6643</v>
      </c>
      <c r="AI47" s="22">
        <v>392</v>
      </c>
      <c r="AJ47" s="22">
        <v>87910</v>
      </c>
      <c r="AK47" s="22">
        <v>0</v>
      </c>
      <c r="AL47" s="22">
        <v>1457</v>
      </c>
      <c r="AM47" s="23">
        <v>96402</v>
      </c>
      <c r="AO47" s="57">
        <f t="shared" si="1"/>
        <v>53.574749640552909</v>
      </c>
      <c r="AP47" s="50"/>
      <c r="AQ47" s="1"/>
    </row>
    <row r="48" spans="1:43" s="15" customFormat="1" ht="15.75" x14ac:dyDescent="0.25">
      <c r="B48" s="16" t="s">
        <v>83</v>
      </c>
      <c r="C48" s="17" t="s">
        <v>84</v>
      </c>
      <c r="D48" s="28">
        <v>0</v>
      </c>
      <c r="E48" s="22">
        <v>2221.5440190628597</v>
      </c>
      <c r="F48" s="22">
        <v>43559.586740753184</v>
      </c>
      <c r="G48" s="22">
        <v>0</v>
      </c>
      <c r="H48" s="22">
        <v>401.2536502321106</v>
      </c>
      <c r="I48" s="23">
        <v>46182.384410048151</v>
      </c>
      <c r="J48" s="28">
        <v>0</v>
      </c>
      <c r="K48" s="22">
        <v>2217.5675224708148</v>
      </c>
      <c r="L48" s="22">
        <v>43700.321451993674</v>
      </c>
      <c r="M48" s="22">
        <v>0</v>
      </c>
      <c r="N48" s="22">
        <v>400.53541833618505</v>
      </c>
      <c r="O48" s="23">
        <v>46318.424392800676</v>
      </c>
      <c r="P48" s="42">
        <v>0</v>
      </c>
      <c r="Q48" s="43">
        <v>2250.1672418424096</v>
      </c>
      <c r="R48" s="43">
        <v>44342.745279610055</v>
      </c>
      <c r="S48" s="43">
        <v>0</v>
      </c>
      <c r="T48" s="43">
        <v>406.42355572268292</v>
      </c>
      <c r="U48" s="44">
        <v>46999.336077175154</v>
      </c>
      <c r="V48" s="28">
        <v>0</v>
      </c>
      <c r="W48" s="22">
        <v>2284.290343178347</v>
      </c>
      <c r="X48" s="22">
        <v>45486.71733824406</v>
      </c>
      <c r="Y48" s="22">
        <v>0</v>
      </c>
      <c r="Z48" s="22">
        <v>412.58684524150192</v>
      </c>
      <c r="AA48" s="23">
        <v>48183.59452666391</v>
      </c>
      <c r="AB48" s="28">
        <v>0</v>
      </c>
      <c r="AC48" s="22">
        <v>2344.1588933835587</v>
      </c>
      <c r="AD48" s="22">
        <v>50064.728384092552</v>
      </c>
      <c r="AE48" s="22">
        <v>0</v>
      </c>
      <c r="AF48" s="22">
        <v>423.40025883934692</v>
      </c>
      <c r="AG48" s="23">
        <v>52832.28753631546</v>
      </c>
      <c r="AH48" s="28">
        <v>0</v>
      </c>
      <c r="AI48" s="22">
        <v>0</v>
      </c>
      <c r="AJ48" s="22">
        <v>52795</v>
      </c>
      <c r="AK48" s="22">
        <v>0</v>
      </c>
      <c r="AL48" s="22">
        <v>423</v>
      </c>
      <c r="AM48" s="23">
        <v>53218</v>
      </c>
      <c r="AO48" s="57">
        <f t="shared" si="1"/>
        <v>385.71246368454013</v>
      </c>
      <c r="AP48" s="50"/>
      <c r="AQ48" s="1"/>
    </row>
    <row r="49" spans="2:43" s="15" customFormat="1" ht="15.75" x14ac:dyDescent="0.25">
      <c r="B49" s="16" t="s">
        <v>85</v>
      </c>
      <c r="C49" s="17" t="s">
        <v>86</v>
      </c>
      <c r="D49" s="28">
        <v>0</v>
      </c>
      <c r="E49" s="22">
        <v>0</v>
      </c>
      <c r="F49" s="22">
        <v>0</v>
      </c>
      <c r="G49" s="22">
        <v>0</v>
      </c>
      <c r="H49" s="22">
        <v>0</v>
      </c>
      <c r="I49" s="23">
        <v>0</v>
      </c>
      <c r="J49" s="28">
        <v>0</v>
      </c>
      <c r="K49" s="22">
        <v>0</v>
      </c>
      <c r="L49" s="22">
        <v>0</v>
      </c>
      <c r="M49" s="22">
        <v>0</v>
      </c>
      <c r="N49" s="22">
        <v>0</v>
      </c>
      <c r="O49" s="23">
        <v>0</v>
      </c>
      <c r="P49" s="42">
        <v>0</v>
      </c>
      <c r="Q49" s="43">
        <v>0</v>
      </c>
      <c r="R49" s="43">
        <v>0</v>
      </c>
      <c r="S49" s="43">
        <v>0</v>
      </c>
      <c r="T49" s="43">
        <v>0</v>
      </c>
      <c r="U49" s="44">
        <v>0</v>
      </c>
      <c r="V49" s="28">
        <v>0</v>
      </c>
      <c r="W49" s="22">
        <v>0</v>
      </c>
      <c r="X49" s="22">
        <v>0</v>
      </c>
      <c r="Y49" s="22">
        <v>0</v>
      </c>
      <c r="Z49" s="22">
        <v>0</v>
      </c>
      <c r="AA49" s="23">
        <v>0</v>
      </c>
      <c r="AB49" s="28">
        <v>0</v>
      </c>
      <c r="AC49" s="22">
        <v>0</v>
      </c>
      <c r="AD49" s="22">
        <v>0</v>
      </c>
      <c r="AE49" s="22">
        <v>0</v>
      </c>
      <c r="AF49" s="22">
        <v>0</v>
      </c>
      <c r="AG49" s="23">
        <v>0</v>
      </c>
      <c r="AH49" s="28">
        <v>0</v>
      </c>
      <c r="AI49" s="22">
        <v>0</v>
      </c>
      <c r="AJ49" s="22">
        <v>0</v>
      </c>
      <c r="AK49" s="22">
        <v>0</v>
      </c>
      <c r="AL49" s="22">
        <v>0</v>
      </c>
      <c r="AM49" s="23">
        <v>0</v>
      </c>
      <c r="AO49" s="57">
        <f t="shared" si="1"/>
        <v>0</v>
      </c>
      <c r="AP49" s="50"/>
      <c r="AQ49" s="1"/>
    </row>
    <row r="50" spans="2:43" s="15" customFormat="1" ht="15.75" x14ac:dyDescent="0.25">
      <c r="B50" s="16" t="s">
        <v>87</v>
      </c>
      <c r="C50" s="17" t="s">
        <v>88</v>
      </c>
      <c r="D50" s="28">
        <v>606.33884923963376</v>
      </c>
      <c r="E50" s="22">
        <v>0</v>
      </c>
      <c r="F50" s="22">
        <v>827.98372270118057</v>
      </c>
      <c r="G50" s="22">
        <v>0</v>
      </c>
      <c r="H50" s="22">
        <v>0</v>
      </c>
      <c r="I50" s="23">
        <v>1434.3225719408142</v>
      </c>
      <c r="J50" s="28">
        <v>605.25352104134629</v>
      </c>
      <c r="K50" s="22">
        <v>0</v>
      </c>
      <c r="L50" s="22">
        <v>826.50165688419133</v>
      </c>
      <c r="M50" s="22">
        <v>0</v>
      </c>
      <c r="N50" s="22">
        <v>0</v>
      </c>
      <c r="O50" s="23">
        <v>1431.7551779255377</v>
      </c>
      <c r="P50" s="42">
        <v>0</v>
      </c>
      <c r="Q50" s="43">
        <v>96.767513267305461</v>
      </c>
      <c r="R50" s="43">
        <v>1452.8029325198127</v>
      </c>
      <c r="S50" s="43">
        <v>0</v>
      </c>
      <c r="T50" s="43">
        <v>0</v>
      </c>
      <c r="U50" s="44">
        <v>1549.5704457871182</v>
      </c>
      <c r="V50" s="28">
        <v>0</v>
      </c>
      <c r="W50" s="22">
        <v>98.234963152738544</v>
      </c>
      <c r="X50" s="22">
        <v>1474.8342467997813</v>
      </c>
      <c r="Y50" s="22">
        <v>0</v>
      </c>
      <c r="Z50" s="22">
        <v>0</v>
      </c>
      <c r="AA50" s="23">
        <v>1573.0692099525199</v>
      </c>
      <c r="AB50" s="28">
        <v>0</v>
      </c>
      <c r="AC50" s="22">
        <v>100.80958543793975</v>
      </c>
      <c r="AD50" s="22">
        <v>1513.4879093749353</v>
      </c>
      <c r="AE50" s="22">
        <v>0</v>
      </c>
      <c r="AF50" s="22">
        <v>0</v>
      </c>
      <c r="AG50" s="23">
        <v>1614.2974948128749</v>
      </c>
      <c r="AH50" s="28">
        <v>0</v>
      </c>
      <c r="AI50" s="22">
        <v>101</v>
      </c>
      <c r="AJ50" s="22">
        <v>1511</v>
      </c>
      <c r="AK50" s="22">
        <v>0</v>
      </c>
      <c r="AL50" s="22">
        <v>0</v>
      </c>
      <c r="AM50" s="23">
        <v>1612</v>
      </c>
      <c r="AO50" s="57">
        <f t="shared" si="1"/>
        <v>-2.297494812874902</v>
      </c>
      <c r="AP50" s="50"/>
      <c r="AQ50" s="1"/>
    </row>
    <row r="51" spans="2:43" s="15" customFormat="1" ht="15.75" x14ac:dyDescent="0.25">
      <c r="B51" s="16" t="s">
        <v>89</v>
      </c>
      <c r="C51" s="17" t="s">
        <v>90</v>
      </c>
      <c r="D51" s="28">
        <v>0</v>
      </c>
      <c r="E51" s="22">
        <v>0</v>
      </c>
      <c r="F51" s="22">
        <v>0</v>
      </c>
      <c r="G51" s="22">
        <v>0</v>
      </c>
      <c r="H51" s="22">
        <v>0</v>
      </c>
      <c r="I51" s="23">
        <v>0</v>
      </c>
      <c r="J51" s="28">
        <v>0</v>
      </c>
      <c r="K51" s="22">
        <v>0</v>
      </c>
      <c r="L51" s="22">
        <v>0</v>
      </c>
      <c r="M51" s="22">
        <v>0</v>
      </c>
      <c r="N51" s="22">
        <v>0</v>
      </c>
      <c r="O51" s="23">
        <v>0</v>
      </c>
      <c r="P51" s="42">
        <v>0</v>
      </c>
      <c r="Q51" s="43">
        <v>0</v>
      </c>
      <c r="R51" s="43">
        <v>0</v>
      </c>
      <c r="S51" s="43">
        <v>0</v>
      </c>
      <c r="T51" s="43">
        <v>0</v>
      </c>
      <c r="U51" s="44">
        <v>0</v>
      </c>
      <c r="V51" s="28">
        <v>0</v>
      </c>
      <c r="W51" s="22">
        <v>0</v>
      </c>
      <c r="X51" s="22">
        <v>0</v>
      </c>
      <c r="Y51" s="22">
        <v>0</v>
      </c>
      <c r="Z51" s="22">
        <v>0</v>
      </c>
      <c r="AA51" s="23">
        <v>0</v>
      </c>
      <c r="AB51" s="28">
        <v>0</v>
      </c>
      <c r="AC51" s="22">
        <v>0</v>
      </c>
      <c r="AD51" s="22">
        <v>0</v>
      </c>
      <c r="AE51" s="22">
        <v>0</v>
      </c>
      <c r="AF51" s="22">
        <v>0</v>
      </c>
      <c r="AG51" s="23">
        <v>0</v>
      </c>
      <c r="AH51" s="28">
        <v>0</v>
      </c>
      <c r="AI51" s="22">
        <v>0</v>
      </c>
      <c r="AJ51" s="22">
        <v>0</v>
      </c>
      <c r="AK51" s="22">
        <v>0</v>
      </c>
      <c r="AL51" s="22">
        <v>0</v>
      </c>
      <c r="AM51" s="23">
        <v>0</v>
      </c>
      <c r="AO51" s="57">
        <f t="shared" si="1"/>
        <v>0</v>
      </c>
      <c r="AP51" s="50"/>
      <c r="AQ51" s="1"/>
    </row>
    <row r="52" spans="2:43" s="15" customFormat="1" ht="15.75" x14ac:dyDescent="0.25">
      <c r="B52" s="16" t="s">
        <v>91</v>
      </c>
      <c r="C52" s="17" t="s">
        <v>92</v>
      </c>
      <c r="D52" s="28">
        <v>0</v>
      </c>
      <c r="E52" s="22">
        <v>1834.302401061077</v>
      </c>
      <c r="F52" s="22">
        <v>33416.149227107802</v>
      </c>
      <c r="G52" s="22">
        <v>0</v>
      </c>
      <c r="H52" s="22">
        <v>684.04193706235992</v>
      </c>
      <c r="I52" s="23">
        <v>35934.493565231234</v>
      </c>
      <c r="J52" s="28">
        <v>254.30820211821273</v>
      </c>
      <c r="K52" s="22">
        <v>1831.0190552511317</v>
      </c>
      <c r="L52" s="22">
        <v>33356.335330835369</v>
      </c>
      <c r="M52" s="22">
        <v>0</v>
      </c>
      <c r="N52" s="22">
        <v>682.81752268740115</v>
      </c>
      <c r="O52" s="23">
        <v>36124.480110892116</v>
      </c>
      <c r="P52" s="42">
        <v>1868.2581228141107</v>
      </c>
      <c r="Q52" s="43">
        <v>3803.6083881602199</v>
      </c>
      <c r="R52" s="43">
        <v>34104.742375929134</v>
      </c>
      <c r="S52" s="43">
        <v>0</v>
      </c>
      <c r="T52" s="43">
        <v>692.85539499390711</v>
      </c>
      <c r="U52" s="44">
        <v>40469.464281897373</v>
      </c>
      <c r="V52" s="28">
        <v>1896.5896886022056</v>
      </c>
      <c r="W52" s="22">
        <v>3861.2889516569767</v>
      </c>
      <c r="X52" s="22">
        <v>34621.93041355117</v>
      </c>
      <c r="Y52" s="22">
        <v>0</v>
      </c>
      <c r="Z52" s="22">
        <v>703.36233617360801</v>
      </c>
      <c r="AA52" s="23">
        <v>41083.17138998396</v>
      </c>
      <c r="AB52" s="28">
        <v>3643.9304816300619</v>
      </c>
      <c r="AC52" s="22">
        <v>2264.8553528390462</v>
      </c>
      <c r="AD52" s="22">
        <v>35529.330291747479</v>
      </c>
      <c r="AE52" s="22">
        <v>0</v>
      </c>
      <c r="AF52" s="22">
        <v>721.79663173564859</v>
      </c>
      <c r="AG52" s="23">
        <v>42159.912757952232</v>
      </c>
      <c r="AH52" s="28">
        <v>3370</v>
      </c>
      <c r="AI52" s="22">
        <v>2261</v>
      </c>
      <c r="AJ52" s="22">
        <v>36172</v>
      </c>
      <c r="AK52" s="22">
        <v>0</v>
      </c>
      <c r="AL52" s="22">
        <v>721</v>
      </c>
      <c r="AM52" s="23">
        <v>42524</v>
      </c>
      <c r="AO52" s="57">
        <f t="shared" si="1"/>
        <v>364.08724204776809</v>
      </c>
      <c r="AP52" s="50"/>
      <c r="AQ52" s="1"/>
    </row>
    <row r="53" spans="2:43" s="15" customFormat="1" ht="15.75" x14ac:dyDescent="0.25">
      <c r="B53" s="16" t="s">
        <v>93</v>
      </c>
      <c r="C53" s="17" t="s">
        <v>94</v>
      </c>
      <c r="D53" s="28">
        <v>0</v>
      </c>
      <c r="E53" s="22">
        <v>1001.2233939125044</v>
      </c>
      <c r="F53" s="22">
        <v>10768.883679562739</v>
      </c>
      <c r="G53" s="22">
        <v>0</v>
      </c>
      <c r="H53" s="22">
        <v>2311.9853180040659</v>
      </c>
      <c r="I53" s="23">
        <v>14082.092391479309</v>
      </c>
      <c r="J53" s="28">
        <v>0</v>
      </c>
      <c r="K53" s="22">
        <v>999.43123432457605</v>
      </c>
      <c r="L53" s="22">
        <v>24592.874685841762</v>
      </c>
      <c r="M53" s="22">
        <v>0</v>
      </c>
      <c r="N53" s="22">
        <v>2307.8469342227804</v>
      </c>
      <c r="O53" s="23">
        <v>27900.152854389118</v>
      </c>
      <c r="P53" s="42">
        <v>0</v>
      </c>
      <c r="Q53" s="43">
        <v>291.59277331214713</v>
      </c>
      <c r="R53" s="43">
        <v>29563.120419916933</v>
      </c>
      <c r="S53" s="43">
        <v>0</v>
      </c>
      <c r="T53" s="43">
        <v>2341.7738210687921</v>
      </c>
      <c r="U53" s="44">
        <v>32196.487014297873</v>
      </c>
      <c r="V53" s="28">
        <v>0</v>
      </c>
      <c r="W53" s="22">
        <v>296.01468896691881</v>
      </c>
      <c r="X53" s="22">
        <v>31727.273499317143</v>
      </c>
      <c r="Y53" s="22">
        <v>0</v>
      </c>
      <c r="Z53" s="22">
        <v>2377.2861082962727</v>
      </c>
      <c r="AA53" s="23">
        <v>34400.574296580337</v>
      </c>
      <c r="AB53" s="28">
        <v>0</v>
      </c>
      <c r="AC53" s="22">
        <v>303.77288411965844</v>
      </c>
      <c r="AD53" s="22">
        <v>31636.736166037168</v>
      </c>
      <c r="AE53" s="22">
        <v>0</v>
      </c>
      <c r="AF53" s="22">
        <v>2002.7504307004028</v>
      </c>
      <c r="AG53" s="23">
        <v>33943.259480857232</v>
      </c>
      <c r="AH53" s="28">
        <v>0</v>
      </c>
      <c r="AI53" s="22">
        <v>303</v>
      </c>
      <c r="AJ53" s="22">
        <v>31656</v>
      </c>
      <c r="AK53" s="22">
        <v>0</v>
      </c>
      <c r="AL53" s="22">
        <v>2000</v>
      </c>
      <c r="AM53" s="23">
        <v>33959</v>
      </c>
      <c r="AO53" s="57">
        <f t="shared" si="1"/>
        <v>15.74051914276788</v>
      </c>
      <c r="AP53" s="50"/>
      <c r="AQ53" s="1"/>
    </row>
    <row r="54" spans="2:43" s="15" customFormat="1" ht="15.75" x14ac:dyDescent="0.25">
      <c r="B54" s="16" t="s">
        <v>95</v>
      </c>
      <c r="C54" s="17" t="s">
        <v>96</v>
      </c>
      <c r="D54" s="28">
        <v>0</v>
      </c>
      <c r="E54" s="22">
        <v>0</v>
      </c>
      <c r="F54" s="22">
        <v>6523.2379137734551</v>
      </c>
      <c r="G54" s="22">
        <v>0</v>
      </c>
      <c r="H54" s="22">
        <v>5669.7777688353144</v>
      </c>
      <c r="I54" s="23">
        <v>12193.01568260877</v>
      </c>
      <c r="J54" s="28">
        <v>0</v>
      </c>
      <c r="K54" s="22">
        <v>0</v>
      </c>
      <c r="L54" s="22">
        <v>8483.7216226635755</v>
      </c>
      <c r="M54" s="22">
        <v>0</v>
      </c>
      <c r="N54" s="22">
        <v>5173.9003720950377</v>
      </c>
      <c r="O54" s="23">
        <v>13657.621994758614</v>
      </c>
      <c r="P54" s="42">
        <v>0</v>
      </c>
      <c r="Q54" s="43">
        <v>0</v>
      </c>
      <c r="R54" s="43">
        <v>8608.437980259494</v>
      </c>
      <c r="S54" s="43">
        <v>0</v>
      </c>
      <c r="T54" s="43">
        <v>5242.2187520674943</v>
      </c>
      <c r="U54" s="44">
        <v>13850.656732326988</v>
      </c>
      <c r="V54" s="28">
        <v>0</v>
      </c>
      <c r="W54" s="22">
        <v>0</v>
      </c>
      <c r="X54" s="22">
        <v>8738.9823220676208</v>
      </c>
      <c r="Y54" s="22">
        <v>0</v>
      </c>
      <c r="Z54" s="22">
        <v>5321.7154038610233</v>
      </c>
      <c r="AA54" s="23">
        <v>14060.697725928643</v>
      </c>
      <c r="AB54" s="28">
        <v>0</v>
      </c>
      <c r="AC54" s="22">
        <v>0</v>
      </c>
      <c r="AD54" s="22">
        <v>8968.0207205591196</v>
      </c>
      <c r="AE54" s="22">
        <v>0</v>
      </c>
      <c r="AF54" s="22">
        <v>5461.1912751246555</v>
      </c>
      <c r="AG54" s="23">
        <v>14429.211995683774</v>
      </c>
      <c r="AH54" s="28">
        <v>0</v>
      </c>
      <c r="AI54" s="22">
        <v>0</v>
      </c>
      <c r="AJ54" s="22">
        <v>8954</v>
      </c>
      <c r="AK54" s="22">
        <v>0</v>
      </c>
      <c r="AL54" s="22">
        <v>5453</v>
      </c>
      <c r="AM54" s="23">
        <v>14407</v>
      </c>
      <c r="AO54" s="57">
        <f t="shared" si="1"/>
        <v>-22.211995683774148</v>
      </c>
      <c r="AP54" s="50"/>
      <c r="AQ54" s="1"/>
    </row>
    <row r="55" spans="2:43" s="15" customFormat="1" ht="15.75" x14ac:dyDescent="0.25">
      <c r="B55" s="16" t="s">
        <v>97</v>
      </c>
      <c r="C55" s="17" t="s">
        <v>98</v>
      </c>
      <c r="D55" s="28">
        <v>0</v>
      </c>
      <c r="E55" s="22">
        <v>431.82535691646189</v>
      </c>
      <c r="F55" s="22">
        <v>51415.241537519614</v>
      </c>
      <c r="G55" s="22">
        <v>0</v>
      </c>
      <c r="H55" s="22">
        <v>208.9066623430671</v>
      </c>
      <c r="I55" s="23">
        <v>52055.973556779143</v>
      </c>
      <c r="J55" s="28">
        <v>0</v>
      </c>
      <c r="K55" s="22">
        <v>431.05240259037055</v>
      </c>
      <c r="L55" s="22">
        <v>52239.990879123259</v>
      </c>
      <c r="M55" s="22">
        <v>0</v>
      </c>
      <c r="N55" s="22">
        <v>178.01574148274889</v>
      </c>
      <c r="O55" s="23">
        <v>52849.05902319638</v>
      </c>
      <c r="P55" s="42">
        <v>0</v>
      </c>
      <c r="Q55" s="43">
        <v>247.72483396430198</v>
      </c>
      <c r="R55" s="43">
        <v>55060.715049096805</v>
      </c>
      <c r="S55" s="43">
        <v>0</v>
      </c>
      <c r="T55" s="43">
        <v>180.63269143230352</v>
      </c>
      <c r="U55" s="44">
        <v>55489.07257449341</v>
      </c>
      <c r="V55" s="28">
        <v>0</v>
      </c>
      <c r="W55" s="22">
        <v>251.48150567101067</v>
      </c>
      <c r="X55" s="22">
        <v>58054.243624251074</v>
      </c>
      <c r="Y55" s="22">
        <v>0</v>
      </c>
      <c r="Z55" s="22">
        <v>183.3719312184453</v>
      </c>
      <c r="AA55" s="23">
        <v>58489.097061140536</v>
      </c>
      <c r="AB55" s="28">
        <v>0</v>
      </c>
      <c r="AC55" s="22">
        <v>513.45682183057306</v>
      </c>
      <c r="AD55" s="22">
        <v>59575.776738210712</v>
      </c>
      <c r="AE55" s="22">
        <v>0</v>
      </c>
      <c r="AF55" s="22">
        <v>188.17789281748753</v>
      </c>
      <c r="AG55" s="23">
        <v>60277.411452858774</v>
      </c>
      <c r="AH55" s="28">
        <v>0</v>
      </c>
      <c r="AI55" s="22">
        <v>1576</v>
      </c>
      <c r="AJ55" s="22">
        <v>59814</v>
      </c>
      <c r="AK55" s="22">
        <v>0</v>
      </c>
      <c r="AL55" s="22">
        <v>188</v>
      </c>
      <c r="AM55" s="23">
        <v>61578</v>
      </c>
      <c r="AO55" s="57">
        <f t="shared" si="1"/>
        <v>1300.5885471412257</v>
      </c>
      <c r="AP55" s="50"/>
      <c r="AQ55" s="1"/>
    </row>
    <row r="56" spans="2:43" s="15" customFormat="1" ht="15.75" x14ac:dyDescent="0.25">
      <c r="B56" s="16" t="s">
        <v>99</v>
      </c>
      <c r="C56" s="17" t="s">
        <v>100</v>
      </c>
      <c r="D56" s="28">
        <v>0</v>
      </c>
      <c r="E56" s="22">
        <v>2802.4064460655341</v>
      </c>
      <c r="F56" s="22">
        <v>55020.155284049375</v>
      </c>
      <c r="G56" s="22">
        <v>0</v>
      </c>
      <c r="H56" s="22">
        <v>3281.363184120371</v>
      </c>
      <c r="I56" s="23">
        <v>61103.924914235278</v>
      </c>
      <c r="J56" s="28">
        <v>0</v>
      </c>
      <c r="K56" s="22">
        <v>2797.39022330034</v>
      </c>
      <c r="L56" s="22">
        <v>55557.441375755341</v>
      </c>
      <c r="M56" s="22">
        <v>0</v>
      </c>
      <c r="N56" s="22">
        <v>3364.4975140239544</v>
      </c>
      <c r="O56" s="23">
        <v>61719.329113079635</v>
      </c>
      <c r="P56" s="42">
        <v>0</v>
      </c>
      <c r="Q56" s="43">
        <v>2838.5137225076269</v>
      </c>
      <c r="R56" s="43">
        <v>57335.396727633597</v>
      </c>
      <c r="S56" s="43">
        <v>0</v>
      </c>
      <c r="T56" s="43">
        <v>3413.9578680705363</v>
      </c>
      <c r="U56" s="44">
        <v>63587.86831821176</v>
      </c>
      <c r="V56" s="28">
        <v>0</v>
      </c>
      <c r="W56" s="22">
        <v>2881.5589191469976</v>
      </c>
      <c r="X56" s="22">
        <v>58204.870567751939</v>
      </c>
      <c r="Y56" s="22">
        <v>0</v>
      </c>
      <c r="Z56" s="22">
        <v>3465.7295000286158</v>
      </c>
      <c r="AA56" s="23">
        <v>64552.158986927556</v>
      </c>
      <c r="AB56" s="28">
        <v>0</v>
      </c>
      <c r="AC56" s="22">
        <v>2957.0811728462322</v>
      </c>
      <c r="AD56" s="22">
        <v>60402.415338801817</v>
      </c>
      <c r="AE56" s="22">
        <v>0</v>
      </c>
      <c r="AF56" s="22">
        <v>3556.5621742505141</v>
      </c>
      <c r="AG56" s="23">
        <v>66916.058685898563</v>
      </c>
      <c r="AH56" s="28">
        <v>0</v>
      </c>
      <c r="AI56" s="22">
        <v>2953</v>
      </c>
      <c r="AJ56" s="22">
        <v>60517</v>
      </c>
      <c r="AK56" s="22">
        <v>0</v>
      </c>
      <c r="AL56" s="22">
        <v>3551</v>
      </c>
      <c r="AM56" s="23">
        <v>67021</v>
      </c>
      <c r="AO56" s="57">
        <f t="shared" si="1"/>
        <v>104.94131410143746</v>
      </c>
      <c r="AP56" s="50"/>
      <c r="AQ56" s="1"/>
    </row>
    <row r="57" spans="2:43" s="15" customFormat="1" ht="15.75" x14ac:dyDescent="0.25">
      <c r="B57" s="16" t="s">
        <v>101</v>
      </c>
      <c r="C57" s="17" t="s">
        <v>102</v>
      </c>
      <c r="D57" s="28">
        <v>0</v>
      </c>
      <c r="E57" s="22">
        <v>1319.678671874497</v>
      </c>
      <c r="F57" s="22">
        <v>8853.0567273433917</v>
      </c>
      <c r="G57" s="22">
        <v>0</v>
      </c>
      <c r="H57" s="22">
        <v>2562.928077038116</v>
      </c>
      <c r="I57" s="23">
        <v>12735.663476256004</v>
      </c>
      <c r="J57" s="28">
        <v>0</v>
      </c>
      <c r="K57" s="22">
        <v>213.61888977929868</v>
      </c>
      <c r="L57" s="22">
        <v>19777.548878733403</v>
      </c>
      <c r="M57" s="22">
        <v>0</v>
      </c>
      <c r="N57" s="22">
        <v>2558.3405133092201</v>
      </c>
      <c r="O57" s="23">
        <v>22549.508281821923</v>
      </c>
      <c r="P57" s="42">
        <v>0</v>
      </c>
      <c r="Q57" s="43">
        <v>0</v>
      </c>
      <c r="R57" s="43">
        <v>24016.406559434985</v>
      </c>
      <c r="S57" s="43">
        <v>0</v>
      </c>
      <c r="T57" s="43">
        <v>2595.9498225842476</v>
      </c>
      <c r="U57" s="44">
        <v>26612.356382019232</v>
      </c>
      <c r="V57" s="28">
        <v>0</v>
      </c>
      <c r="W57" s="22">
        <v>1807.5233220103892</v>
      </c>
      <c r="X57" s="22">
        <v>24453.956827488382</v>
      </c>
      <c r="Y57" s="22">
        <v>0</v>
      </c>
      <c r="Z57" s="22">
        <v>2635.3166115107992</v>
      </c>
      <c r="AA57" s="23">
        <v>28896.796761009569</v>
      </c>
      <c r="AB57" s="28">
        <v>0</v>
      </c>
      <c r="AC57" s="22">
        <v>450.28281495613084</v>
      </c>
      <c r="AD57" s="22">
        <v>26943.041868046694</v>
      </c>
      <c r="AE57" s="22">
        <v>0</v>
      </c>
      <c r="AF57" s="22">
        <v>2569.9723647645437</v>
      </c>
      <c r="AG57" s="23">
        <v>29963.29704776737</v>
      </c>
      <c r="AH57" s="28">
        <v>0</v>
      </c>
      <c r="AI57" s="22">
        <v>0</v>
      </c>
      <c r="AJ57" s="22">
        <v>27454</v>
      </c>
      <c r="AK57" s="22">
        <v>0</v>
      </c>
      <c r="AL57" s="22">
        <v>2566</v>
      </c>
      <c r="AM57" s="23">
        <v>30020</v>
      </c>
      <c r="AO57" s="57">
        <f t="shared" si="1"/>
        <v>56.702952232630196</v>
      </c>
      <c r="AP57" s="50"/>
      <c r="AQ57" s="1"/>
    </row>
    <row r="58" spans="2:43" s="15" customFormat="1" ht="15.75" x14ac:dyDescent="0.25">
      <c r="B58" s="16" t="s">
        <v>103</v>
      </c>
      <c r="C58" s="17" t="s">
        <v>104</v>
      </c>
      <c r="D58" s="28">
        <v>0</v>
      </c>
      <c r="E58" s="22">
        <v>0</v>
      </c>
      <c r="F58" s="22">
        <v>51098.060080669471</v>
      </c>
      <c r="G58" s="22">
        <v>1146.4390006631731</v>
      </c>
      <c r="H58" s="22">
        <v>19981.157960447257</v>
      </c>
      <c r="I58" s="23">
        <v>72225.657041779894</v>
      </c>
      <c r="J58" s="28">
        <v>0</v>
      </c>
      <c r="K58" s="22">
        <v>124.61101903792424</v>
      </c>
      <c r="L58" s="22">
        <v>51006.596098849928</v>
      </c>
      <c r="M58" s="22">
        <v>1144.3869095319571</v>
      </c>
      <c r="N58" s="22">
        <v>19735.588025383899</v>
      </c>
      <c r="O58" s="23">
        <v>72011.182052803721</v>
      </c>
      <c r="P58" s="42">
        <v>0</v>
      </c>
      <c r="Q58" s="43">
        <v>233.53226535176384</v>
      </c>
      <c r="R58" s="43">
        <v>51756.427029395883</v>
      </c>
      <c r="S58" s="43">
        <v>1161.2101592076654</v>
      </c>
      <c r="T58" s="43">
        <v>19793.472280449772</v>
      </c>
      <c r="U58" s="44">
        <v>72944.641734405086</v>
      </c>
      <c r="V58" s="28">
        <v>0</v>
      </c>
      <c r="W58" s="22">
        <v>619.53516761660444</v>
      </c>
      <c r="X58" s="22">
        <v>52631.673658219908</v>
      </c>
      <c r="Y58" s="22">
        <v>1178.8195578328625</v>
      </c>
      <c r="Z58" s="22">
        <v>20093.634263015494</v>
      </c>
      <c r="AA58" s="23">
        <v>74523.662646684868</v>
      </c>
      <c r="AB58" s="28">
        <v>0</v>
      </c>
      <c r="AC58" s="22">
        <v>635.77245216194001</v>
      </c>
      <c r="AD58" s="22">
        <v>54011.087622036437</v>
      </c>
      <c r="AE58" s="22">
        <v>1209.7150252552769</v>
      </c>
      <c r="AF58" s="22">
        <v>20620.264669379114</v>
      </c>
      <c r="AG58" s="23">
        <v>76476.839768832768</v>
      </c>
      <c r="AH58" s="28">
        <v>0</v>
      </c>
      <c r="AI58" s="22">
        <v>525</v>
      </c>
      <c r="AJ58" s="22">
        <v>54037</v>
      </c>
      <c r="AK58" s="22">
        <v>1208</v>
      </c>
      <c r="AL58" s="22">
        <v>20588</v>
      </c>
      <c r="AM58" s="23">
        <v>76358</v>
      </c>
      <c r="AO58" s="57">
        <f t="shared" si="1"/>
        <v>-118.83976883276773</v>
      </c>
      <c r="AP58" s="50"/>
      <c r="AQ58" s="1"/>
    </row>
    <row r="59" spans="2:43" s="15" customFormat="1" ht="15.75" x14ac:dyDescent="0.25">
      <c r="B59" s="16" t="s">
        <v>105</v>
      </c>
      <c r="C59" s="17" t="s">
        <v>106</v>
      </c>
      <c r="D59" s="28">
        <v>0</v>
      </c>
      <c r="E59" s="22">
        <v>0</v>
      </c>
      <c r="F59" s="22">
        <v>0</v>
      </c>
      <c r="G59" s="22">
        <v>0</v>
      </c>
      <c r="H59" s="22">
        <v>0</v>
      </c>
      <c r="I59" s="23">
        <v>0</v>
      </c>
      <c r="J59" s="28">
        <v>0</v>
      </c>
      <c r="K59" s="22">
        <v>0</v>
      </c>
      <c r="L59" s="22">
        <v>0</v>
      </c>
      <c r="M59" s="22">
        <v>0</v>
      </c>
      <c r="N59" s="22">
        <v>0</v>
      </c>
      <c r="O59" s="23">
        <v>0</v>
      </c>
      <c r="P59" s="42">
        <v>0</v>
      </c>
      <c r="Q59" s="43">
        <v>0</v>
      </c>
      <c r="R59" s="43">
        <v>0</v>
      </c>
      <c r="S59" s="43">
        <v>0</v>
      </c>
      <c r="T59" s="43">
        <v>0</v>
      </c>
      <c r="U59" s="44">
        <v>0</v>
      </c>
      <c r="V59" s="28">
        <v>0</v>
      </c>
      <c r="W59" s="22">
        <v>0</v>
      </c>
      <c r="X59" s="22">
        <v>0</v>
      </c>
      <c r="Y59" s="22">
        <v>0</v>
      </c>
      <c r="Z59" s="22">
        <v>0</v>
      </c>
      <c r="AA59" s="23">
        <v>0</v>
      </c>
      <c r="AB59" s="28">
        <v>0</v>
      </c>
      <c r="AC59" s="22">
        <v>0</v>
      </c>
      <c r="AD59" s="22">
        <v>0</v>
      </c>
      <c r="AE59" s="22">
        <v>0</v>
      </c>
      <c r="AF59" s="22">
        <v>0</v>
      </c>
      <c r="AG59" s="23">
        <v>0</v>
      </c>
      <c r="AH59" s="28">
        <v>0</v>
      </c>
      <c r="AI59" s="22">
        <v>0</v>
      </c>
      <c r="AJ59" s="22">
        <v>0</v>
      </c>
      <c r="AK59" s="22">
        <v>0</v>
      </c>
      <c r="AL59" s="22">
        <v>0</v>
      </c>
      <c r="AM59" s="23">
        <v>0</v>
      </c>
      <c r="AO59" s="57">
        <f t="shared" si="1"/>
        <v>0</v>
      </c>
      <c r="AP59" s="50"/>
      <c r="AQ59" s="1"/>
    </row>
    <row r="60" spans="2:43" s="15" customFormat="1" ht="15.75" x14ac:dyDescent="0.25">
      <c r="B60" s="16" t="s">
        <v>107</v>
      </c>
      <c r="C60" s="17" t="s">
        <v>108</v>
      </c>
      <c r="D60" s="28">
        <v>0</v>
      </c>
      <c r="E60" s="22">
        <v>0</v>
      </c>
      <c r="F60" s="22">
        <v>0</v>
      </c>
      <c r="G60" s="22">
        <v>0</v>
      </c>
      <c r="H60" s="22">
        <v>0</v>
      </c>
      <c r="I60" s="23">
        <v>0</v>
      </c>
      <c r="J60" s="28">
        <v>0</v>
      </c>
      <c r="K60" s="22">
        <v>0</v>
      </c>
      <c r="L60" s="22">
        <v>0</v>
      </c>
      <c r="M60" s="22">
        <v>0</v>
      </c>
      <c r="N60" s="22">
        <v>0</v>
      </c>
      <c r="O60" s="23">
        <v>0</v>
      </c>
      <c r="P60" s="42">
        <v>0</v>
      </c>
      <c r="Q60" s="43">
        <v>0</v>
      </c>
      <c r="R60" s="43">
        <v>0</v>
      </c>
      <c r="S60" s="43">
        <v>0</v>
      </c>
      <c r="T60" s="43">
        <v>0</v>
      </c>
      <c r="U60" s="44">
        <v>0</v>
      </c>
      <c r="V60" s="28">
        <v>0</v>
      </c>
      <c r="W60" s="22">
        <v>0</v>
      </c>
      <c r="X60" s="22">
        <v>0</v>
      </c>
      <c r="Y60" s="22">
        <v>0</v>
      </c>
      <c r="Z60" s="22">
        <v>0</v>
      </c>
      <c r="AA60" s="23">
        <v>0</v>
      </c>
      <c r="AB60" s="28">
        <v>0</v>
      </c>
      <c r="AC60" s="22">
        <v>0</v>
      </c>
      <c r="AD60" s="22">
        <v>0</v>
      </c>
      <c r="AE60" s="22">
        <v>0</v>
      </c>
      <c r="AF60" s="22">
        <v>0</v>
      </c>
      <c r="AG60" s="23">
        <v>0</v>
      </c>
      <c r="AH60" s="28">
        <v>0</v>
      </c>
      <c r="AI60" s="22">
        <v>0</v>
      </c>
      <c r="AJ60" s="22">
        <v>0</v>
      </c>
      <c r="AK60" s="22">
        <v>0</v>
      </c>
      <c r="AL60" s="22">
        <v>0</v>
      </c>
      <c r="AM60" s="23">
        <v>0</v>
      </c>
      <c r="AO60" s="57">
        <f t="shared" si="1"/>
        <v>0</v>
      </c>
      <c r="AP60" s="50"/>
      <c r="AQ60" s="1"/>
    </row>
    <row r="61" spans="2:43" s="15" customFormat="1" ht="15.75" x14ac:dyDescent="0.25">
      <c r="B61" s="16" t="s">
        <v>109</v>
      </c>
      <c r="C61" s="17" t="s">
        <v>110</v>
      </c>
      <c r="D61" s="28">
        <v>0</v>
      </c>
      <c r="E61" s="22">
        <v>197.44227233643537</v>
      </c>
      <c r="F61" s="22">
        <v>336.28877352786412</v>
      </c>
      <c r="G61" s="22">
        <v>0</v>
      </c>
      <c r="H61" s="22">
        <v>0</v>
      </c>
      <c r="I61" s="23">
        <v>533.73104586429952</v>
      </c>
      <c r="J61" s="28">
        <v>0</v>
      </c>
      <c r="K61" s="22">
        <v>197.08885664161485</v>
      </c>
      <c r="L61" s="22">
        <v>335.6868267960408</v>
      </c>
      <c r="M61" s="22">
        <v>0</v>
      </c>
      <c r="N61" s="22">
        <v>0</v>
      </c>
      <c r="O61" s="23">
        <v>532.77568343765563</v>
      </c>
      <c r="P61" s="42">
        <v>0</v>
      </c>
      <c r="Q61" s="43">
        <v>199.98619408576459</v>
      </c>
      <c r="R61" s="43">
        <v>340.62164670091522</v>
      </c>
      <c r="S61" s="43">
        <v>0</v>
      </c>
      <c r="T61" s="43">
        <v>0</v>
      </c>
      <c r="U61" s="44">
        <v>540.60784078667984</v>
      </c>
      <c r="V61" s="28">
        <v>0</v>
      </c>
      <c r="W61" s="22">
        <v>203.01892384899298</v>
      </c>
      <c r="X61" s="22">
        <v>345.78707029763967</v>
      </c>
      <c r="Y61" s="22">
        <v>0</v>
      </c>
      <c r="Z61" s="22">
        <v>0</v>
      </c>
      <c r="AA61" s="23">
        <v>548.80599414663266</v>
      </c>
      <c r="AB61" s="28">
        <v>0</v>
      </c>
      <c r="AC61" s="22">
        <v>544.3717613648746</v>
      </c>
      <c r="AD61" s="22">
        <v>354.84974074154786</v>
      </c>
      <c r="AE61" s="22">
        <v>0</v>
      </c>
      <c r="AF61" s="22">
        <v>0</v>
      </c>
      <c r="AG61" s="23">
        <v>899.22150210642246</v>
      </c>
      <c r="AH61" s="28">
        <v>0</v>
      </c>
      <c r="AI61" s="22">
        <v>1170</v>
      </c>
      <c r="AJ61" s="22">
        <v>354</v>
      </c>
      <c r="AK61" s="22">
        <v>0</v>
      </c>
      <c r="AL61" s="22">
        <v>0</v>
      </c>
      <c r="AM61" s="23">
        <v>1524</v>
      </c>
      <c r="AO61" s="57">
        <f t="shared" si="1"/>
        <v>624.77849789357754</v>
      </c>
      <c r="AP61" s="50"/>
      <c r="AQ61" s="1"/>
    </row>
    <row r="62" spans="2:43" s="15" customFormat="1" ht="15.75" x14ac:dyDescent="0.25">
      <c r="B62" s="16" t="s">
        <v>111</v>
      </c>
      <c r="C62" s="17" t="s">
        <v>112</v>
      </c>
      <c r="D62" s="28">
        <v>0</v>
      </c>
      <c r="E62" s="22">
        <v>0</v>
      </c>
      <c r="F62" s="22">
        <v>0</v>
      </c>
      <c r="G62" s="22">
        <v>0</v>
      </c>
      <c r="H62" s="22">
        <v>0</v>
      </c>
      <c r="I62" s="23">
        <v>0</v>
      </c>
      <c r="J62" s="28">
        <v>0</v>
      </c>
      <c r="K62" s="22">
        <v>0</v>
      </c>
      <c r="L62" s="22">
        <v>0</v>
      </c>
      <c r="M62" s="22">
        <v>0</v>
      </c>
      <c r="N62" s="22">
        <v>0</v>
      </c>
      <c r="O62" s="23">
        <v>0</v>
      </c>
      <c r="P62" s="42">
        <v>0</v>
      </c>
      <c r="Q62" s="43">
        <v>0</v>
      </c>
      <c r="R62" s="43">
        <v>0</v>
      </c>
      <c r="S62" s="43">
        <v>0</v>
      </c>
      <c r="T62" s="43">
        <v>0</v>
      </c>
      <c r="U62" s="44">
        <v>0</v>
      </c>
      <c r="V62" s="28">
        <v>0</v>
      </c>
      <c r="W62" s="22">
        <v>0</v>
      </c>
      <c r="X62" s="22">
        <v>0</v>
      </c>
      <c r="Y62" s="22">
        <v>0</v>
      </c>
      <c r="Z62" s="22">
        <v>0</v>
      </c>
      <c r="AA62" s="23">
        <v>0</v>
      </c>
      <c r="AB62" s="28">
        <v>0</v>
      </c>
      <c r="AC62" s="22">
        <v>0</v>
      </c>
      <c r="AD62" s="22">
        <v>0</v>
      </c>
      <c r="AE62" s="22">
        <v>0</v>
      </c>
      <c r="AF62" s="22">
        <v>0</v>
      </c>
      <c r="AG62" s="23">
        <v>0</v>
      </c>
      <c r="AH62" s="28">
        <v>0</v>
      </c>
      <c r="AI62" s="22">
        <v>0</v>
      </c>
      <c r="AJ62" s="22">
        <v>0</v>
      </c>
      <c r="AK62" s="22">
        <v>0</v>
      </c>
      <c r="AL62" s="22">
        <v>0</v>
      </c>
      <c r="AM62" s="23">
        <v>0</v>
      </c>
      <c r="AO62" s="57">
        <f t="shared" si="1"/>
        <v>0</v>
      </c>
      <c r="AP62" s="50"/>
      <c r="AQ62" s="1"/>
    </row>
    <row r="63" spans="2:43" s="15" customFormat="1" ht="15.75" x14ac:dyDescent="0.25">
      <c r="B63" s="16" t="s">
        <v>113</v>
      </c>
      <c r="C63" s="17" t="s">
        <v>114</v>
      </c>
      <c r="D63" s="28">
        <v>0</v>
      </c>
      <c r="E63" s="22">
        <v>0</v>
      </c>
      <c r="F63" s="22">
        <v>0</v>
      </c>
      <c r="G63" s="22">
        <v>0</v>
      </c>
      <c r="H63" s="22">
        <v>0</v>
      </c>
      <c r="I63" s="23">
        <v>0</v>
      </c>
      <c r="J63" s="28">
        <v>0</v>
      </c>
      <c r="K63" s="22">
        <v>0</v>
      </c>
      <c r="L63" s="22">
        <v>0</v>
      </c>
      <c r="M63" s="22">
        <v>0</v>
      </c>
      <c r="N63" s="22">
        <v>0</v>
      </c>
      <c r="O63" s="23">
        <v>0</v>
      </c>
      <c r="P63" s="42">
        <v>0</v>
      </c>
      <c r="Q63" s="43">
        <v>0</v>
      </c>
      <c r="R63" s="43">
        <v>0</v>
      </c>
      <c r="S63" s="43">
        <v>0</v>
      </c>
      <c r="T63" s="43">
        <v>0</v>
      </c>
      <c r="U63" s="44">
        <v>0</v>
      </c>
      <c r="V63" s="28">
        <v>0</v>
      </c>
      <c r="W63" s="22">
        <v>0</v>
      </c>
      <c r="X63" s="22">
        <v>0</v>
      </c>
      <c r="Y63" s="22">
        <v>0</v>
      </c>
      <c r="Z63" s="22">
        <v>0</v>
      </c>
      <c r="AA63" s="23">
        <v>0</v>
      </c>
      <c r="AB63" s="28">
        <v>0</v>
      </c>
      <c r="AC63" s="22">
        <v>0</v>
      </c>
      <c r="AD63" s="22">
        <v>0</v>
      </c>
      <c r="AE63" s="22">
        <v>0</v>
      </c>
      <c r="AF63" s="22">
        <v>0</v>
      </c>
      <c r="AG63" s="23">
        <v>0</v>
      </c>
      <c r="AH63" s="28">
        <v>0</v>
      </c>
      <c r="AI63" s="22">
        <v>0</v>
      </c>
      <c r="AJ63" s="22">
        <v>0</v>
      </c>
      <c r="AK63" s="22">
        <v>0</v>
      </c>
      <c r="AL63" s="22">
        <v>0</v>
      </c>
      <c r="AM63" s="23">
        <v>0</v>
      </c>
      <c r="AO63" s="57">
        <f t="shared" si="1"/>
        <v>0</v>
      </c>
      <c r="AP63" s="50"/>
      <c r="AQ63" s="1"/>
    </row>
    <row r="64" spans="2:43" s="15" customFormat="1" ht="15.75" x14ac:dyDescent="0.25">
      <c r="B64" s="16" t="s">
        <v>115</v>
      </c>
      <c r="C64" s="17" t="s">
        <v>116</v>
      </c>
      <c r="D64" s="28">
        <v>0</v>
      </c>
      <c r="E64" s="22">
        <v>6027.7215012645947</v>
      </c>
      <c r="F64" s="22">
        <v>723.53039152964698</v>
      </c>
      <c r="G64" s="22">
        <v>0</v>
      </c>
      <c r="H64" s="22">
        <v>458.57560026526926</v>
      </c>
      <c r="I64" s="23">
        <v>7209.8274930595107</v>
      </c>
      <c r="J64" s="28">
        <v>0</v>
      </c>
      <c r="K64" s="22">
        <v>1633.9301986095168</v>
      </c>
      <c r="L64" s="22">
        <v>5105.23715752312</v>
      </c>
      <c r="M64" s="22">
        <v>0</v>
      </c>
      <c r="N64" s="22">
        <v>457.75476381278293</v>
      </c>
      <c r="O64" s="23">
        <v>7196.9221199454196</v>
      </c>
      <c r="P64" s="42">
        <v>0</v>
      </c>
      <c r="Q64" s="43">
        <v>2335.3226535176382</v>
      </c>
      <c r="R64" s="43">
        <v>10813.447049243827</v>
      </c>
      <c r="S64" s="43">
        <v>0</v>
      </c>
      <c r="T64" s="43">
        <v>464.48406368306621</v>
      </c>
      <c r="U64" s="44">
        <v>13613.253766444532</v>
      </c>
      <c r="V64" s="28">
        <v>0</v>
      </c>
      <c r="W64" s="22">
        <v>0</v>
      </c>
      <c r="X64" s="22">
        <v>13348.166793194114</v>
      </c>
      <c r="Y64" s="22">
        <v>0</v>
      </c>
      <c r="Z64" s="22">
        <v>471.52782313314503</v>
      </c>
      <c r="AA64" s="23">
        <v>13819.694616327259</v>
      </c>
      <c r="AB64" s="28">
        <v>236.56649382769859</v>
      </c>
      <c r="AC64" s="22">
        <v>0</v>
      </c>
      <c r="AD64" s="22">
        <v>13698.006469307253</v>
      </c>
      <c r="AE64" s="22">
        <v>0</v>
      </c>
      <c r="AF64" s="22">
        <v>483.88601010211073</v>
      </c>
      <c r="AG64" s="23">
        <v>14418.458973237062</v>
      </c>
      <c r="AH64" s="28">
        <v>236</v>
      </c>
      <c r="AI64" s="22">
        <v>0</v>
      </c>
      <c r="AJ64" s="22">
        <v>13677</v>
      </c>
      <c r="AK64" s="22">
        <v>0</v>
      </c>
      <c r="AL64" s="22">
        <v>483</v>
      </c>
      <c r="AM64" s="23">
        <v>14396</v>
      </c>
      <c r="AO64" s="57">
        <f t="shared" si="1"/>
        <v>-22.45897323706231</v>
      </c>
      <c r="AP64" s="50"/>
      <c r="AQ64" s="1"/>
    </row>
    <row r="65" spans="2:43" s="15" customFormat="1" ht="15.75" x14ac:dyDescent="0.25">
      <c r="B65" s="16" t="s">
        <v>117</v>
      </c>
      <c r="C65" s="17" t="s">
        <v>118</v>
      </c>
      <c r="D65" s="28">
        <v>0</v>
      </c>
      <c r="E65" s="22">
        <v>2793.4896982825985</v>
      </c>
      <c r="F65" s="22">
        <v>44525.143143533947</v>
      </c>
      <c r="G65" s="22">
        <v>2483.9511681035415</v>
      </c>
      <c r="H65" s="22">
        <v>16893.415585327781</v>
      </c>
      <c r="I65" s="23">
        <v>66695.999595247864</v>
      </c>
      <c r="J65" s="28">
        <v>0</v>
      </c>
      <c r="K65" s="22">
        <v>2788.4894362262025</v>
      </c>
      <c r="L65" s="22">
        <v>45175.309024279311</v>
      </c>
      <c r="M65" s="22">
        <v>2479.5049706525742</v>
      </c>
      <c r="N65" s="22">
        <v>16863.176882458687</v>
      </c>
      <c r="O65" s="23">
        <v>67306.480313616776</v>
      </c>
      <c r="P65" s="42">
        <v>0</v>
      </c>
      <c r="Q65" s="43">
        <v>2829.4820879360113</v>
      </c>
      <c r="R65" s="43">
        <v>45839.416151477708</v>
      </c>
      <c r="S65" s="43">
        <v>2515.9553449499417</v>
      </c>
      <c r="T65" s="43">
        <v>17220.746661049678</v>
      </c>
      <c r="U65" s="44">
        <v>68405.600245413341</v>
      </c>
      <c r="V65" s="28">
        <v>0</v>
      </c>
      <c r="W65" s="22">
        <v>2649.7244061065344</v>
      </c>
      <c r="X65" s="22">
        <v>46757.222861686139</v>
      </c>
      <c r="Y65" s="22">
        <v>2554.1090419712023</v>
      </c>
      <c r="Z65" s="22">
        <v>17481.894042661352</v>
      </c>
      <c r="AA65" s="23">
        <v>69442.950352425236</v>
      </c>
      <c r="AB65" s="28">
        <v>107.53022446713572</v>
      </c>
      <c r="AC65" s="22">
        <v>2719.1705512126946</v>
      </c>
      <c r="AD65" s="22">
        <v>48189.670094946872</v>
      </c>
      <c r="AE65" s="22">
        <v>2621.0492213864331</v>
      </c>
      <c r="AF65" s="22">
        <v>17940.073824535757</v>
      </c>
      <c r="AG65" s="23">
        <v>71577.493916548905</v>
      </c>
      <c r="AH65" s="28">
        <v>107</v>
      </c>
      <c r="AI65" s="22">
        <v>2715</v>
      </c>
      <c r="AJ65" s="22">
        <v>48114</v>
      </c>
      <c r="AK65" s="22">
        <v>2617</v>
      </c>
      <c r="AL65" s="22">
        <v>17912</v>
      </c>
      <c r="AM65" s="23">
        <v>71465</v>
      </c>
      <c r="AO65" s="57">
        <f t="shared" si="1"/>
        <v>-112.49391654890496</v>
      </c>
      <c r="AP65" s="50"/>
      <c r="AQ65" s="1"/>
    </row>
    <row r="66" spans="2:43" s="15" customFormat="1" ht="15.75" x14ac:dyDescent="0.25">
      <c r="B66" s="16" t="s">
        <v>119</v>
      </c>
      <c r="C66" s="17" t="s">
        <v>120</v>
      </c>
      <c r="D66" s="28">
        <v>0</v>
      </c>
      <c r="E66" s="22">
        <v>0</v>
      </c>
      <c r="F66" s="22">
        <v>52369.333550293748</v>
      </c>
      <c r="G66" s="22">
        <v>0</v>
      </c>
      <c r="H66" s="22">
        <v>2346.3784880239609</v>
      </c>
      <c r="I66" s="23">
        <v>54715.71203831771</v>
      </c>
      <c r="J66" s="28">
        <v>0</v>
      </c>
      <c r="K66" s="22">
        <v>0</v>
      </c>
      <c r="L66" s="22">
        <v>52686.301773840722</v>
      </c>
      <c r="M66" s="22">
        <v>0</v>
      </c>
      <c r="N66" s="22">
        <v>2342.1785415087393</v>
      </c>
      <c r="O66" s="23">
        <v>55028.480315349458</v>
      </c>
      <c r="P66" s="42">
        <v>0</v>
      </c>
      <c r="Q66" s="43">
        <v>0</v>
      </c>
      <c r="R66" s="43">
        <v>53460.825496410689</v>
      </c>
      <c r="S66" s="43">
        <v>0</v>
      </c>
      <c r="T66" s="43">
        <v>2266.9402774754089</v>
      </c>
      <c r="U66" s="44">
        <v>55727.765773886102</v>
      </c>
      <c r="V66" s="28">
        <v>0</v>
      </c>
      <c r="W66" s="22">
        <v>0</v>
      </c>
      <c r="X66" s="22">
        <v>54271.542643116292</v>
      </c>
      <c r="Y66" s="22">
        <v>0</v>
      </c>
      <c r="Z66" s="22">
        <v>2301.3177367914882</v>
      </c>
      <c r="AA66" s="23">
        <v>56572.860379907783</v>
      </c>
      <c r="AB66" s="28">
        <v>0</v>
      </c>
      <c r="AC66" s="22">
        <v>0</v>
      </c>
      <c r="AD66" s="22">
        <v>56519.230107732379</v>
      </c>
      <c r="AE66" s="22">
        <v>0</v>
      </c>
      <c r="AF66" s="22">
        <v>2361.6325548594682</v>
      </c>
      <c r="AG66" s="23">
        <v>58880.862662591848</v>
      </c>
      <c r="AH66" s="28">
        <v>0</v>
      </c>
      <c r="AI66" s="22">
        <v>0</v>
      </c>
      <c r="AJ66" s="22">
        <v>56431</v>
      </c>
      <c r="AK66" s="22">
        <v>0</v>
      </c>
      <c r="AL66" s="22">
        <v>2358</v>
      </c>
      <c r="AM66" s="23">
        <v>58789</v>
      </c>
      <c r="AO66" s="57">
        <f t="shared" si="1"/>
        <v>-91.862662591847766</v>
      </c>
      <c r="AP66" s="50"/>
      <c r="AQ66" s="1"/>
    </row>
    <row r="67" spans="2:43" s="15" customFormat="1" ht="15.75" x14ac:dyDescent="0.25">
      <c r="B67" s="16" t="s">
        <v>121</v>
      </c>
      <c r="C67" s="17" t="s">
        <v>122</v>
      </c>
      <c r="D67" s="28">
        <v>0</v>
      </c>
      <c r="E67" s="22">
        <v>17977.437351510402</v>
      </c>
      <c r="F67" s="22">
        <v>0</v>
      </c>
      <c r="G67" s="22">
        <v>0</v>
      </c>
      <c r="H67" s="22">
        <v>859.8292504973798</v>
      </c>
      <c r="I67" s="23">
        <v>18837.266602007781</v>
      </c>
      <c r="J67" s="28">
        <v>0</v>
      </c>
      <c r="K67" s="22">
        <v>17945.258282471681</v>
      </c>
      <c r="L67" s="22">
        <v>0</v>
      </c>
      <c r="M67" s="22">
        <v>0</v>
      </c>
      <c r="N67" s="22">
        <v>858.29018214896792</v>
      </c>
      <c r="O67" s="23">
        <v>18803.54846462065</v>
      </c>
      <c r="P67" s="42">
        <v>12676.544238017015</v>
      </c>
      <c r="Q67" s="43">
        <v>4913.2092069586561</v>
      </c>
      <c r="R67" s="43">
        <v>15740.848824815021</v>
      </c>
      <c r="S67" s="43">
        <v>0</v>
      </c>
      <c r="T67" s="43">
        <v>870.90761940574907</v>
      </c>
      <c r="U67" s="44">
        <v>34201.509889196437</v>
      </c>
      <c r="V67" s="28">
        <v>0</v>
      </c>
      <c r="W67" s="22">
        <v>1277.0545209856011</v>
      </c>
      <c r="X67" s="22">
        <v>32357.287063003376</v>
      </c>
      <c r="Y67" s="22">
        <v>0</v>
      </c>
      <c r="Z67" s="22">
        <v>884.11466837464695</v>
      </c>
      <c r="AA67" s="23">
        <v>34518.456252363627</v>
      </c>
      <c r="AB67" s="28">
        <v>0</v>
      </c>
      <c r="AC67" s="22">
        <v>2985.3078567688553</v>
      </c>
      <c r="AD67" s="22">
        <v>33205.333315451513</v>
      </c>
      <c r="AE67" s="22">
        <v>0</v>
      </c>
      <c r="AF67" s="22">
        <v>907.28626894145771</v>
      </c>
      <c r="AG67" s="23">
        <v>37097.927441161824</v>
      </c>
      <c r="AH67" s="28">
        <v>0</v>
      </c>
      <c r="AI67" s="22">
        <v>1361</v>
      </c>
      <c r="AJ67" s="22">
        <v>33153</v>
      </c>
      <c r="AK67" s="22">
        <v>0</v>
      </c>
      <c r="AL67" s="22">
        <v>906</v>
      </c>
      <c r="AM67" s="23">
        <v>35420</v>
      </c>
      <c r="AO67" s="57">
        <f t="shared" si="1"/>
        <v>-1677.9274411618244</v>
      </c>
      <c r="AP67" s="50"/>
      <c r="AQ67" s="1"/>
    </row>
    <row r="68" spans="2:43" s="15" customFormat="1" ht="15.75" x14ac:dyDescent="0.25">
      <c r="B68" s="16" t="s">
        <v>123</v>
      </c>
      <c r="C68" s="17" t="s">
        <v>124</v>
      </c>
      <c r="D68" s="28">
        <v>4713.1381138374891</v>
      </c>
      <c r="E68" s="22">
        <v>1477.6324897436452</v>
      </c>
      <c r="F68" s="22">
        <v>8045.4541424317795</v>
      </c>
      <c r="G68" s="22">
        <v>0</v>
      </c>
      <c r="H68" s="22">
        <v>1249.6185107228587</v>
      </c>
      <c r="I68" s="23">
        <v>15485.843256735774</v>
      </c>
      <c r="J68" s="28">
        <v>0</v>
      </c>
      <c r="K68" s="22">
        <v>1474.9875722856339</v>
      </c>
      <c r="L68" s="22">
        <v>12314.874687574451</v>
      </c>
      <c r="M68" s="22">
        <v>0</v>
      </c>
      <c r="N68" s="22">
        <v>1247.3817313898335</v>
      </c>
      <c r="O68" s="23">
        <v>15037.243991249918</v>
      </c>
      <c r="P68" s="42">
        <v>0</v>
      </c>
      <c r="Q68" s="43">
        <v>4980.3013494906545</v>
      </c>
      <c r="R68" s="43">
        <v>13326.821927173307</v>
      </c>
      <c r="S68" s="43">
        <v>0</v>
      </c>
      <c r="T68" s="43">
        <v>1265.7190735363554</v>
      </c>
      <c r="U68" s="44">
        <v>19572.842350200317</v>
      </c>
      <c r="V68" s="28">
        <v>3536.4586734985878</v>
      </c>
      <c r="W68" s="22">
        <v>1519.3674300956895</v>
      </c>
      <c r="X68" s="22">
        <v>13528.919125395152</v>
      </c>
      <c r="Y68" s="22">
        <v>0</v>
      </c>
      <c r="Z68" s="22">
        <v>1284.9133180378201</v>
      </c>
      <c r="AA68" s="23">
        <v>19869.658547027248</v>
      </c>
      <c r="AB68" s="28">
        <v>3629.1450757658308</v>
      </c>
      <c r="AC68" s="22">
        <v>1559.1882547734681</v>
      </c>
      <c r="AD68" s="22">
        <v>15728.983583930278</v>
      </c>
      <c r="AE68" s="22">
        <v>0</v>
      </c>
      <c r="AF68" s="22">
        <v>1318.5893775282518</v>
      </c>
      <c r="AG68" s="23">
        <v>22235.906291997831</v>
      </c>
      <c r="AH68" s="28">
        <v>3624</v>
      </c>
      <c r="AI68" s="22">
        <v>1557</v>
      </c>
      <c r="AJ68" s="22">
        <v>18136</v>
      </c>
      <c r="AK68" s="22">
        <v>0</v>
      </c>
      <c r="AL68" s="22">
        <v>1317</v>
      </c>
      <c r="AM68" s="23">
        <v>24634</v>
      </c>
      <c r="AO68" s="57">
        <f t="shared" si="1"/>
        <v>2398.0937080021686</v>
      </c>
      <c r="AP68" s="50"/>
      <c r="AQ68" s="1"/>
    </row>
    <row r="69" spans="2:43" s="15" customFormat="1" ht="15.75" x14ac:dyDescent="0.25">
      <c r="B69" s="16" t="s">
        <v>125</v>
      </c>
      <c r="C69" s="17" t="s">
        <v>126</v>
      </c>
      <c r="D69" s="28">
        <v>0</v>
      </c>
      <c r="E69" s="22">
        <v>3683.8906554643295</v>
      </c>
      <c r="F69" s="22">
        <v>5592.0746810125884</v>
      </c>
      <c r="G69" s="22">
        <v>0</v>
      </c>
      <c r="H69" s="22">
        <v>0</v>
      </c>
      <c r="I69" s="23">
        <v>9275.9653364769183</v>
      </c>
      <c r="J69" s="28">
        <v>0</v>
      </c>
      <c r="K69" s="22">
        <v>498.44407615169695</v>
      </c>
      <c r="L69" s="22">
        <v>8760.9175629724286</v>
      </c>
      <c r="M69" s="22">
        <v>0</v>
      </c>
      <c r="N69" s="22">
        <v>0</v>
      </c>
      <c r="O69" s="23">
        <v>9259.3616391241248</v>
      </c>
      <c r="P69" s="42">
        <v>0</v>
      </c>
      <c r="Q69" s="43">
        <v>505.77153601044984</v>
      </c>
      <c r="R69" s="43">
        <v>8889.7088854897938</v>
      </c>
      <c r="S69" s="43">
        <v>0</v>
      </c>
      <c r="T69" s="43">
        <v>0</v>
      </c>
      <c r="U69" s="44">
        <v>9395.4804215002441</v>
      </c>
      <c r="V69" s="28">
        <v>0</v>
      </c>
      <c r="W69" s="22">
        <v>0</v>
      </c>
      <c r="X69" s="22">
        <v>9537.960022376561</v>
      </c>
      <c r="Y69" s="22">
        <v>0</v>
      </c>
      <c r="Z69" s="22">
        <v>0</v>
      </c>
      <c r="AA69" s="23">
        <v>9537.960022376561</v>
      </c>
      <c r="AB69" s="28">
        <v>0</v>
      </c>
      <c r="AC69" s="22">
        <v>0</v>
      </c>
      <c r="AD69" s="22">
        <v>9787.9386821210301</v>
      </c>
      <c r="AE69" s="22">
        <v>0</v>
      </c>
      <c r="AF69" s="22">
        <v>0</v>
      </c>
      <c r="AG69" s="23">
        <v>9787.9386821210301</v>
      </c>
      <c r="AH69" s="28">
        <v>0</v>
      </c>
      <c r="AI69" s="22">
        <v>0</v>
      </c>
      <c r="AJ69" s="22">
        <v>9773</v>
      </c>
      <c r="AK69" s="22">
        <v>0</v>
      </c>
      <c r="AL69" s="22">
        <v>0</v>
      </c>
      <c r="AM69" s="23">
        <v>9773</v>
      </c>
      <c r="AO69" s="57">
        <f t="shared" si="1"/>
        <v>-14.93868212103007</v>
      </c>
      <c r="AP69" s="50"/>
      <c r="AQ69" s="1"/>
    </row>
    <row r="70" spans="2:43" s="15" customFormat="1" ht="15.75" x14ac:dyDescent="0.25">
      <c r="B70" s="16" t="s">
        <v>127</v>
      </c>
      <c r="C70" s="17" t="s">
        <v>128</v>
      </c>
      <c r="D70" s="28">
        <v>0</v>
      </c>
      <c r="E70" s="22">
        <v>675.12518927942415</v>
      </c>
      <c r="F70" s="22">
        <v>78849.526823389344</v>
      </c>
      <c r="G70" s="22">
        <v>484.05202250222862</v>
      </c>
      <c r="H70" s="22">
        <v>0</v>
      </c>
      <c r="I70" s="23">
        <v>80008.704035171002</v>
      </c>
      <c r="J70" s="28">
        <v>0</v>
      </c>
      <c r="K70" s="22">
        <v>673.91673561326377</v>
      </c>
      <c r="L70" s="22">
        <v>78595.221405644232</v>
      </c>
      <c r="M70" s="22">
        <v>483.18558402460417</v>
      </c>
      <c r="N70" s="22">
        <v>0</v>
      </c>
      <c r="O70" s="23">
        <v>79752.323725282098</v>
      </c>
      <c r="P70" s="42">
        <v>0</v>
      </c>
      <c r="Q70" s="43">
        <v>683.82376042229191</v>
      </c>
      <c r="R70" s="43">
        <v>77580.450736664134</v>
      </c>
      <c r="S70" s="43">
        <v>490.28873388768096</v>
      </c>
      <c r="T70" s="43">
        <v>0</v>
      </c>
      <c r="U70" s="44">
        <v>78754.563230974105</v>
      </c>
      <c r="V70" s="28">
        <v>0</v>
      </c>
      <c r="W70" s="22">
        <v>694.1937396126857</v>
      </c>
      <c r="X70" s="22">
        <v>78876.126414105544</v>
      </c>
      <c r="Y70" s="22">
        <v>497.72381330720862</v>
      </c>
      <c r="Z70" s="22">
        <v>0</v>
      </c>
      <c r="AA70" s="23">
        <v>80068.043967025442</v>
      </c>
      <c r="AB70" s="28">
        <v>0</v>
      </c>
      <c r="AC70" s="22">
        <v>712.38773709477414</v>
      </c>
      <c r="AD70" s="22">
        <v>80943.376467636423</v>
      </c>
      <c r="AE70" s="22">
        <v>510.7685662188947</v>
      </c>
      <c r="AF70" s="22">
        <v>0</v>
      </c>
      <c r="AG70" s="23">
        <v>82166.532770950085</v>
      </c>
      <c r="AH70" s="28">
        <v>0</v>
      </c>
      <c r="AI70" s="22">
        <v>711</v>
      </c>
      <c r="AJ70" s="22">
        <v>80817</v>
      </c>
      <c r="AK70" s="22">
        <v>510</v>
      </c>
      <c r="AL70" s="22">
        <v>0</v>
      </c>
      <c r="AM70" s="23">
        <v>82038</v>
      </c>
      <c r="AO70" s="57">
        <f t="shared" si="1"/>
        <v>-128.53277095008525</v>
      </c>
      <c r="AP70" s="50"/>
      <c r="AQ70" s="1"/>
    </row>
    <row r="71" spans="2:43" s="15" customFormat="1" ht="15.75" x14ac:dyDescent="0.25">
      <c r="B71" s="16" t="s">
        <v>129</v>
      </c>
      <c r="C71" s="17" t="s">
        <v>130</v>
      </c>
      <c r="D71" s="28">
        <v>0</v>
      </c>
      <c r="E71" s="22">
        <v>0</v>
      </c>
      <c r="F71" s="22">
        <v>0</v>
      </c>
      <c r="G71" s="22">
        <v>0</v>
      </c>
      <c r="H71" s="22">
        <v>0</v>
      </c>
      <c r="I71" s="23">
        <v>0</v>
      </c>
      <c r="J71" s="28">
        <v>0</v>
      </c>
      <c r="K71" s="22">
        <v>0</v>
      </c>
      <c r="L71" s="22">
        <v>0</v>
      </c>
      <c r="M71" s="22">
        <v>0</v>
      </c>
      <c r="N71" s="22">
        <v>0</v>
      </c>
      <c r="O71" s="23">
        <v>0</v>
      </c>
      <c r="P71" s="42">
        <v>0</v>
      </c>
      <c r="Q71" s="43">
        <v>0</v>
      </c>
      <c r="R71" s="43">
        <v>0</v>
      </c>
      <c r="S71" s="43">
        <v>0</v>
      </c>
      <c r="T71" s="43">
        <v>0</v>
      </c>
      <c r="U71" s="44">
        <v>0</v>
      </c>
      <c r="V71" s="28">
        <v>0</v>
      </c>
      <c r="W71" s="22">
        <v>0</v>
      </c>
      <c r="X71" s="22">
        <v>0</v>
      </c>
      <c r="Y71" s="22">
        <v>0</v>
      </c>
      <c r="Z71" s="22">
        <v>0</v>
      </c>
      <c r="AA71" s="23">
        <v>0</v>
      </c>
      <c r="AB71" s="28">
        <v>0</v>
      </c>
      <c r="AC71" s="22">
        <v>0</v>
      </c>
      <c r="AD71" s="22">
        <v>0</v>
      </c>
      <c r="AE71" s="22">
        <v>0</v>
      </c>
      <c r="AF71" s="22">
        <v>0</v>
      </c>
      <c r="AG71" s="23">
        <v>0</v>
      </c>
      <c r="AH71" s="28">
        <v>0</v>
      </c>
      <c r="AI71" s="22">
        <v>0</v>
      </c>
      <c r="AJ71" s="22">
        <v>0</v>
      </c>
      <c r="AK71" s="22">
        <v>0</v>
      </c>
      <c r="AL71" s="22">
        <v>0</v>
      </c>
      <c r="AM71" s="23">
        <v>0</v>
      </c>
      <c r="AO71" s="57">
        <f t="shared" si="1"/>
        <v>0</v>
      </c>
      <c r="AP71" s="50"/>
      <c r="AQ71" s="1"/>
    </row>
    <row r="72" spans="2:43" s="15" customFormat="1" ht="15.75" x14ac:dyDescent="0.25">
      <c r="B72" s="16" t="s">
        <v>131</v>
      </c>
      <c r="C72" s="17" t="s">
        <v>132</v>
      </c>
      <c r="D72" s="28">
        <v>10581.631976121087</v>
      </c>
      <c r="E72" s="22">
        <v>403.8012924558065</v>
      </c>
      <c r="F72" s="22">
        <v>89966.16366648658</v>
      </c>
      <c r="G72" s="22">
        <v>0</v>
      </c>
      <c r="H72" s="22">
        <v>1064.9144495049029</v>
      </c>
      <c r="I72" s="23">
        <v>102016.51138456837</v>
      </c>
      <c r="J72" s="28">
        <v>10562.691174979966</v>
      </c>
      <c r="K72" s="22">
        <v>2450.2595274089795</v>
      </c>
      <c r="L72" s="22">
        <v>89805.126955015046</v>
      </c>
      <c r="M72" s="22">
        <v>0</v>
      </c>
      <c r="N72" s="22">
        <v>1412.6820627666716</v>
      </c>
      <c r="O72" s="23">
        <v>104230.75972017067</v>
      </c>
      <c r="P72" s="42">
        <v>0</v>
      </c>
      <c r="Q72" s="43">
        <v>2226.9430386582562</v>
      </c>
      <c r="R72" s="43">
        <v>102102.62883210956</v>
      </c>
      <c r="S72" s="43">
        <v>0</v>
      </c>
      <c r="T72" s="43">
        <v>1433.4494298663515</v>
      </c>
      <c r="U72" s="44">
        <v>105763.02130063417</v>
      </c>
      <c r="V72" s="28">
        <v>0</v>
      </c>
      <c r="W72" s="22">
        <v>3846.8811570612415</v>
      </c>
      <c r="X72" s="22">
        <v>103974.50459987589</v>
      </c>
      <c r="Y72" s="22">
        <v>0</v>
      </c>
      <c r="Z72" s="22">
        <v>1455.1872541692337</v>
      </c>
      <c r="AA72" s="23">
        <v>109276.57301110636</v>
      </c>
      <c r="AB72" s="28">
        <v>0</v>
      </c>
      <c r="AC72" s="22">
        <v>4947.7344532940824</v>
      </c>
      <c r="AD72" s="22">
        <v>107578.61306814593</v>
      </c>
      <c r="AE72" s="22">
        <v>0</v>
      </c>
      <c r="AF72" s="22">
        <v>1493.3259922873474</v>
      </c>
      <c r="AG72" s="23">
        <v>114019.67351372735</v>
      </c>
      <c r="AH72" s="28">
        <v>0</v>
      </c>
      <c r="AI72" s="22">
        <v>4940</v>
      </c>
      <c r="AJ72" s="22">
        <v>108114</v>
      </c>
      <c r="AK72" s="22">
        <v>0</v>
      </c>
      <c r="AL72" s="22">
        <v>1491</v>
      </c>
      <c r="AM72" s="23">
        <v>114545</v>
      </c>
      <c r="AO72" s="57">
        <f t="shared" si="1"/>
        <v>525.32648627265007</v>
      </c>
      <c r="AP72" s="50"/>
      <c r="AQ72" s="1"/>
    </row>
    <row r="73" spans="2:43" s="15" customFormat="1" ht="15.75" x14ac:dyDescent="0.25">
      <c r="B73" s="16" t="s">
        <v>133</v>
      </c>
      <c r="C73" s="17" t="s">
        <v>134</v>
      </c>
      <c r="D73" s="28">
        <v>337.56259463971207</v>
      </c>
      <c r="E73" s="22">
        <v>13335.633219936399</v>
      </c>
      <c r="F73" s="22">
        <v>7864.571544549367</v>
      </c>
      <c r="G73" s="22">
        <v>0</v>
      </c>
      <c r="H73" s="22">
        <v>5621.3725665850916</v>
      </c>
      <c r="I73" s="23">
        <v>27159.13992571057</v>
      </c>
      <c r="J73" s="28">
        <v>1496.6037694656818</v>
      </c>
      <c r="K73" s="22">
        <v>13311.762839877845</v>
      </c>
      <c r="L73" s="22">
        <v>7850.4941993892271</v>
      </c>
      <c r="M73" s="22">
        <v>0</v>
      </c>
      <c r="N73" s="22">
        <v>6013.1174390851402</v>
      </c>
      <c r="O73" s="23">
        <v>28671.978247817897</v>
      </c>
      <c r="P73" s="42">
        <v>9412.2534571332435</v>
      </c>
      <c r="Q73" s="43">
        <v>13334.563328234692</v>
      </c>
      <c r="R73" s="43">
        <v>9112.9192827597126</v>
      </c>
      <c r="S73" s="43">
        <v>0</v>
      </c>
      <c r="T73" s="43">
        <v>6101.5142698811669</v>
      </c>
      <c r="U73" s="44">
        <v>37961.250338008816</v>
      </c>
      <c r="V73" s="28">
        <v>9554.9874159897026</v>
      </c>
      <c r="W73" s="22">
        <v>14673.683896001732</v>
      </c>
      <c r="X73" s="22">
        <v>9788.1317285388686</v>
      </c>
      <c r="Y73" s="22">
        <v>0</v>
      </c>
      <c r="Z73" s="22">
        <v>6194.0418766573412</v>
      </c>
      <c r="AA73" s="23">
        <v>40210.844917187642</v>
      </c>
      <c r="AB73" s="28">
        <v>13210.088075787624</v>
      </c>
      <c r="AC73" s="22">
        <v>14257.163636536357</v>
      </c>
      <c r="AD73" s="22">
        <v>8189.7707209782247</v>
      </c>
      <c r="AE73" s="22">
        <v>0</v>
      </c>
      <c r="AF73" s="22">
        <v>6356.3803938135607</v>
      </c>
      <c r="AG73" s="23">
        <v>42013.402827115766</v>
      </c>
      <c r="AH73" s="28">
        <v>14344</v>
      </c>
      <c r="AI73" s="22">
        <v>14235</v>
      </c>
      <c r="AJ73" s="22">
        <v>8177</v>
      </c>
      <c r="AK73" s="22">
        <v>0</v>
      </c>
      <c r="AL73" s="22">
        <v>6346</v>
      </c>
      <c r="AM73" s="23">
        <v>43102</v>
      </c>
      <c r="AO73" s="57">
        <f t="shared" ref="AO73:AO88" si="2">+AM73-AG73</f>
        <v>1088.5971728842342</v>
      </c>
      <c r="AP73" s="50"/>
      <c r="AQ73" s="1"/>
    </row>
    <row r="74" spans="2:43" s="15" customFormat="1" ht="15.75" x14ac:dyDescent="0.25">
      <c r="B74" s="16" t="s">
        <v>135</v>
      </c>
      <c r="C74" s="17" t="s">
        <v>136</v>
      </c>
      <c r="D74" s="28">
        <v>0</v>
      </c>
      <c r="E74" s="22">
        <v>3725.9267521553124</v>
      </c>
      <c r="F74" s="22">
        <v>8814.8420939879525</v>
      </c>
      <c r="G74" s="22">
        <v>0</v>
      </c>
      <c r="H74" s="22">
        <v>0</v>
      </c>
      <c r="I74" s="23">
        <v>12540.768846143264</v>
      </c>
      <c r="J74" s="28">
        <v>0</v>
      </c>
      <c r="K74" s="22">
        <v>3302.1920045049924</v>
      </c>
      <c r="L74" s="22">
        <v>9216.1292447640299</v>
      </c>
      <c r="M74" s="22">
        <v>0</v>
      </c>
      <c r="N74" s="22">
        <v>0</v>
      </c>
      <c r="O74" s="23">
        <v>12518.321249269022</v>
      </c>
      <c r="P74" s="42">
        <v>0</v>
      </c>
      <c r="Q74" s="43">
        <v>3193.32793782108</v>
      </c>
      <c r="R74" s="43">
        <v>9509.0209704005501</v>
      </c>
      <c r="S74" s="43">
        <v>0</v>
      </c>
      <c r="T74" s="43">
        <v>0</v>
      </c>
      <c r="U74" s="44">
        <v>12702.348908221629</v>
      </c>
      <c r="V74" s="28">
        <v>1853.3663048150006</v>
      </c>
      <c r="W74" s="22">
        <v>1858.6055028498133</v>
      </c>
      <c r="X74" s="22">
        <v>12371.056359701541</v>
      </c>
      <c r="Y74" s="22">
        <v>0</v>
      </c>
      <c r="Z74" s="22">
        <v>0</v>
      </c>
      <c r="AA74" s="23">
        <v>16083.028167366356</v>
      </c>
      <c r="AB74" s="28">
        <v>1901.9408452624632</v>
      </c>
      <c r="AC74" s="22">
        <v>1621.0181338420709</v>
      </c>
      <c r="AD74" s="22">
        <v>13083.74006203874</v>
      </c>
      <c r="AE74" s="22">
        <v>0</v>
      </c>
      <c r="AF74" s="22">
        <v>0</v>
      </c>
      <c r="AG74" s="23">
        <v>16606.699041143274</v>
      </c>
      <c r="AH74" s="28">
        <v>0</v>
      </c>
      <c r="AI74" s="22">
        <v>1618</v>
      </c>
      <c r="AJ74" s="22">
        <v>16104</v>
      </c>
      <c r="AK74" s="22">
        <v>0</v>
      </c>
      <c r="AL74" s="22">
        <v>0</v>
      </c>
      <c r="AM74" s="23">
        <v>17722</v>
      </c>
      <c r="AO74" s="57">
        <f t="shared" si="2"/>
        <v>1115.3009588567256</v>
      </c>
      <c r="AP74" s="50"/>
      <c r="AQ74" s="1"/>
    </row>
    <row r="75" spans="2:43" s="15" customFormat="1" ht="15.75" x14ac:dyDescent="0.25">
      <c r="B75" s="16" t="s">
        <v>137</v>
      </c>
      <c r="C75" s="17" t="s">
        <v>138</v>
      </c>
      <c r="D75" s="28">
        <v>1876.33849775206</v>
      </c>
      <c r="E75" s="22">
        <v>681.49429483866402</v>
      </c>
      <c r="F75" s="22">
        <v>2008.8158933842487</v>
      </c>
      <c r="G75" s="22">
        <v>0</v>
      </c>
      <c r="H75" s="22">
        <v>0</v>
      </c>
      <c r="I75" s="23">
        <v>4566.648685974973</v>
      </c>
      <c r="J75" s="28">
        <v>1872.9799086006367</v>
      </c>
      <c r="K75" s="22">
        <v>680.27444066621899</v>
      </c>
      <c r="L75" s="22">
        <v>2005.2201737021073</v>
      </c>
      <c r="M75" s="22">
        <v>0</v>
      </c>
      <c r="N75" s="22">
        <v>0</v>
      </c>
      <c r="O75" s="23">
        <v>4558.4745229689634</v>
      </c>
      <c r="P75" s="42">
        <v>1900.5139605698791</v>
      </c>
      <c r="Q75" s="43">
        <v>690.27492797344553</v>
      </c>
      <c r="R75" s="43">
        <v>2034.698245633876</v>
      </c>
      <c r="S75" s="43">
        <v>0</v>
      </c>
      <c r="T75" s="43">
        <v>0</v>
      </c>
      <c r="U75" s="44">
        <v>4625.4871341772014</v>
      </c>
      <c r="V75" s="28">
        <v>1929.3346763197851</v>
      </c>
      <c r="W75" s="22">
        <v>700.74273715620166</v>
      </c>
      <c r="X75" s="22">
        <v>2065.5538252249157</v>
      </c>
      <c r="Y75" s="22">
        <v>0</v>
      </c>
      <c r="Z75" s="22">
        <v>0</v>
      </c>
      <c r="AA75" s="23">
        <v>4695.631238700902</v>
      </c>
      <c r="AB75" s="28">
        <v>1979.9002580011365</v>
      </c>
      <c r="AC75" s="22">
        <v>719.10837612397017</v>
      </c>
      <c r="AD75" s="22">
        <v>2119.6895498084132</v>
      </c>
      <c r="AE75" s="22">
        <v>0</v>
      </c>
      <c r="AF75" s="22">
        <v>0</v>
      </c>
      <c r="AG75" s="23">
        <v>4818.6981839335203</v>
      </c>
      <c r="AH75" s="28">
        <v>0</v>
      </c>
      <c r="AI75" s="22">
        <v>718</v>
      </c>
      <c r="AJ75" s="22">
        <v>4093</v>
      </c>
      <c r="AK75" s="22">
        <v>0</v>
      </c>
      <c r="AL75" s="22">
        <v>0</v>
      </c>
      <c r="AM75" s="23">
        <v>4811</v>
      </c>
      <c r="AO75" s="57">
        <f t="shared" si="2"/>
        <v>-7.6981839335203404</v>
      </c>
      <c r="AP75" s="50"/>
      <c r="AQ75" s="1"/>
    </row>
    <row r="76" spans="2:43" s="15" customFormat="1" ht="15.75" x14ac:dyDescent="0.25">
      <c r="B76" s="16" t="s">
        <v>139</v>
      </c>
      <c r="C76" s="17" t="s">
        <v>140</v>
      </c>
      <c r="D76" s="28">
        <v>22058.760193871298</v>
      </c>
      <c r="E76" s="22">
        <v>4930.9615239634923</v>
      </c>
      <c r="F76" s="22">
        <v>30857.042613405229</v>
      </c>
      <c r="G76" s="22">
        <v>0</v>
      </c>
      <c r="H76" s="22">
        <v>560.48128921310683</v>
      </c>
      <c r="I76" s="23">
        <v>58407.245620453126</v>
      </c>
      <c r="J76" s="28">
        <v>15133.881108054838</v>
      </c>
      <c r="K76" s="22">
        <v>4922.1352519980073</v>
      </c>
      <c r="L76" s="22">
        <v>37687.204012908536</v>
      </c>
      <c r="M76" s="22">
        <v>0</v>
      </c>
      <c r="N76" s="22">
        <v>559.47804466006801</v>
      </c>
      <c r="O76" s="23">
        <v>58302.698417621454</v>
      </c>
      <c r="P76" s="42">
        <v>15356.359238766261</v>
      </c>
      <c r="Q76" s="43">
        <v>4842.2463638959653</v>
      </c>
      <c r="R76" s="43">
        <v>38241.231009728886</v>
      </c>
      <c r="S76" s="43">
        <v>0</v>
      </c>
      <c r="T76" s="43">
        <v>567.70274450152533</v>
      </c>
      <c r="U76" s="44">
        <v>59007.539356892637</v>
      </c>
      <c r="V76" s="28">
        <v>15589.233752585256</v>
      </c>
      <c r="W76" s="22">
        <v>4915.6775561630366</v>
      </c>
      <c r="X76" s="22">
        <v>35372.445532038095</v>
      </c>
      <c r="Y76" s="22">
        <v>0</v>
      </c>
      <c r="Z76" s="22">
        <v>576.31178382939947</v>
      </c>
      <c r="AA76" s="23">
        <v>56453.668624615784</v>
      </c>
      <c r="AB76" s="28">
        <v>15554.246969171183</v>
      </c>
      <c r="AC76" s="22">
        <v>5044.5116553145044</v>
      </c>
      <c r="AD76" s="22">
        <v>36165.102743909425</v>
      </c>
      <c r="AE76" s="22">
        <v>0</v>
      </c>
      <c r="AF76" s="22">
        <v>591.41623456924651</v>
      </c>
      <c r="AG76" s="23">
        <v>57355.277602964357</v>
      </c>
      <c r="AH76" s="28">
        <v>0</v>
      </c>
      <c r="AI76" s="22">
        <v>2557</v>
      </c>
      <c r="AJ76" s="22">
        <v>51806</v>
      </c>
      <c r="AK76" s="22">
        <v>0</v>
      </c>
      <c r="AL76" s="22">
        <v>590</v>
      </c>
      <c r="AM76" s="23">
        <v>54953</v>
      </c>
      <c r="AO76" s="57">
        <f t="shared" si="2"/>
        <v>-2402.2776029643574</v>
      </c>
      <c r="AP76" s="50"/>
      <c r="AQ76" s="1"/>
    </row>
    <row r="77" spans="2:43" s="15" customFormat="1" ht="15.75" x14ac:dyDescent="0.25">
      <c r="B77" s="16" t="s">
        <v>141</v>
      </c>
      <c r="C77" s="17" t="s">
        <v>142</v>
      </c>
      <c r="D77" s="28">
        <v>0</v>
      </c>
      <c r="E77" s="22">
        <v>1263.6305429531863</v>
      </c>
      <c r="F77" s="22">
        <v>26087.856370646427</v>
      </c>
      <c r="G77" s="22">
        <v>0</v>
      </c>
      <c r="H77" s="22">
        <v>0</v>
      </c>
      <c r="I77" s="23">
        <v>27351.486913599612</v>
      </c>
      <c r="J77" s="28">
        <v>0</v>
      </c>
      <c r="K77" s="22">
        <v>1261.3686825063351</v>
      </c>
      <c r="L77" s="22">
        <v>26041.159896904981</v>
      </c>
      <c r="M77" s="22">
        <v>0</v>
      </c>
      <c r="N77" s="22">
        <v>0</v>
      </c>
      <c r="O77" s="23">
        <v>27302.528579411315</v>
      </c>
      <c r="P77" s="42">
        <v>0</v>
      </c>
      <c r="Q77" s="43">
        <v>1279.9116421488934</v>
      </c>
      <c r="R77" s="43">
        <v>26423.982289525542</v>
      </c>
      <c r="S77" s="43">
        <v>0</v>
      </c>
      <c r="T77" s="43">
        <v>0</v>
      </c>
      <c r="U77" s="44">
        <v>27703.893931674436</v>
      </c>
      <c r="V77" s="28">
        <v>0</v>
      </c>
      <c r="W77" s="22">
        <v>1299.3211126335552</v>
      </c>
      <c r="X77" s="22">
        <v>26552.255640430878</v>
      </c>
      <c r="Y77" s="22">
        <v>0</v>
      </c>
      <c r="Z77" s="22">
        <v>0</v>
      </c>
      <c r="AA77" s="23">
        <v>27851.576753064433</v>
      </c>
      <c r="AB77" s="28">
        <v>0</v>
      </c>
      <c r="AC77" s="22">
        <v>1333.3747833924831</v>
      </c>
      <c r="AD77" s="22">
        <v>27248.158879972194</v>
      </c>
      <c r="AE77" s="22">
        <v>0</v>
      </c>
      <c r="AF77" s="22">
        <v>0</v>
      </c>
      <c r="AG77" s="23">
        <v>28581.533663364677</v>
      </c>
      <c r="AH77" s="28">
        <v>0</v>
      </c>
      <c r="AI77" s="22">
        <v>1331</v>
      </c>
      <c r="AJ77" s="22">
        <v>27206</v>
      </c>
      <c r="AK77" s="22">
        <v>0</v>
      </c>
      <c r="AL77" s="22">
        <v>0</v>
      </c>
      <c r="AM77" s="23">
        <v>28537</v>
      </c>
      <c r="AO77" s="57">
        <f t="shared" si="2"/>
        <v>-44.533663364676613</v>
      </c>
      <c r="AP77" s="50"/>
      <c r="AQ77" s="1"/>
    </row>
    <row r="78" spans="2:43" s="15" customFormat="1" ht="15.75" x14ac:dyDescent="0.25">
      <c r="B78" s="16" t="s">
        <v>143</v>
      </c>
      <c r="C78" s="17" t="s">
        <v>144</v>
      </c>
      <c r="D78" s="28">
        <v>0</v>
      </c>
      <c r="E78" s="22">
        <v>3706.8194354775928</v>
      </c>
      <c r="F78" s="22">
        <v>3821.4633355439105</v>
      </c>
      <c r="G78" s="22">
        <v>0</v>
      </c>
      <c r="H78" s="22">
        <v>178.33495565871581</v>
      </c>
      <c r="I78" s="23">
        <v>7706.6177266802188</v>
      </c>
      <c r="J78" s="28">
        <v>0</v>
      </c>
      <c r="K78" s="22">
        <v>3700.1843408199952</v>
      </c>
      <c r="L78" s="22">
        <v>3814.6230317731906</v>
      </c>
      <c r="M78" s="22">
        <v>0</v>
      </c>
      <c r="N78" s="22">
        <v>178.01574148274889</v>
      </c>
      <c r="O78" s="23">
        <v>7692.8231140759353</v>
      </c>
      <c r="P78" s="42">
        <v>0</v>
      </c>
      <c r="Q78" s="43">
        <v>3192.0377043108492</v>
      </c>
      <c r="R78" s="43">
        <v>4433.2423411528207</v>
      </c>
      <c r="S78" s="43">
        <v>0</v>
      </c>
      <c r="T78" s="43">
        <v>180.63269143230352</v>
      </c>
      <c r="U78" s="44">
        <v>7805.9127368959735</v>
      </c>
      <c r="V78" s="28">
        <v>0</v>
      </c>
      <c r="W78" s="22">
        <v>3240.4439845316688</v>
      </c>
      <c r="X78" s="22">
        <v>4500.4711119041285</v>
      </c>
      <c r="Y78" s="22">
        <v>0</v>
      </c>
      <c r="Z78" s="22">
        <v>183.3719312184453</v>
      </c>
      <c r="AA78" s="23">
        <v>7924.2870276542435</v>
      </c>
      <c r="AB78" s="28">
        <v>0</v>
      </c>
      <c r="AC78" s="22">
        <v>3325.3721916461723</v>
      </c>
      <c r="AD78" s="22">
        <v>4618.4231408634796</v>
      </c>
      <c r="AE78" s="22">
        <v>0</v>
      </c>
      <c r="AF78" s="22">
        <v>188.17789281748753</v>
      </c>
      <c r="AG78" s="23">
        <v>8131.9732253271386</v>
      </c>
      <c r="AH78" s="28">
        <v>0</v>
      </c>
      <c r="AI78" s="22">
        <v>130</v>
      </c>
      <c r="AJ78" s="22">
        <v>7801</v>
      </c>
      <c r="AK78" s="22">
        <v>0</v>
      </c>
      <c r="AL78" s="22">
        <v>188</v>
      </c>
      <c r="AM78" s="23">
        <v>8119</v>
      </c>
      <c r="AO78" s="57">
        <f t="shared" si="2"/>
        <v>-12.973225327138607</v>
      </c>
      <c r="AP78" s="50"/>
      <c r="AQ78" s="1"/>
    </row>
    <row r="79" spans="2:43" s="15" customFormat="1" ht="15.75" x14ac:dyDescent="0.25">
      <c r="B79" s="16" t="s">
        <v>145</v>
      </c>
      <c r="C79" s="17" t="s">
        <v>146</v>
      </c>
      <c r="D79" s="28">
        <v>0</v>
      </c>
      <c r="E79" s="22">
        <v>0</v>
      </c>
      <c r="F79" s="22">
        <v>0</v>
      </c>
      <c r="G79" s="22">
        <v>0</v>
      </c>
      <c r="H79" s="22">
        <v>0</v>
      </c>
      <c r="I79" s="23">
        <v>0</v>
      </c>
      <c r="J79" s="28">
        <v>0</v>
      </c>
      <c r="K79" s="22">
        <v>0</v>
      </c>
      <c r="L79" s="22">
        <v>0</v>
      </c>
      <c r="M79" s="22">
        <v>0</v>
      </c>
      <c r="N79" s="22">
        <v>0</v>
      </c>
      <c r="O79" s="23">
        <v>0</v>
      </c>
      <c r="P79" s="42">
        <v>0</v>
      </c>
      <c r="Q79" s="43">
        <v>0</v>
      </c>
      <c r="R79" s="43">
        <v>0</v>
      </c>
      <c r="S79" s="43">
        <v>0</v>
      </c>
      <c r="T79" s="43">
        <v>0</v>
      </c>
      <c r="U79" s="44">
        <v>0</v>
      </c>
      <c r="V79" s="28">
        <v>0</v>
      </c>
      <c r="W79" s="22">
        <v>0</v>
      </c>
      <c r="X79" s="22">
        <v>0</v>
      </c>
      <c r="Y79" s="22">
        <v>0</v>
      </c>
      <c r="Z79" s="22">
        <v>0</v>
      </c>
      <c r="AA79" s="23">
        <v>0</v>
      </c>
      <c r="AB79" s="28">
        <v>0</v>
      </c>
      <c r="AC79" s="22">
        <v>0</v>
      </c>
      <c r="AD79" s="22">
        <v>0</v>
      </c>
      <c r="AE79" s="22">
        <v>0</v>
      </c>
      <c r="AF79" s="22">
        <v>0</v>
      </c>
      <c r="AG79" s="23">
        <v>0</v>
      </c>
      <c r="AH79" s="28">
        <v>0</v>
      </c>
      <c r="AI79" s="22">
        <v>0</v>
      </c>
      <c r="AJ79" s="22">
        <v>0</v>
      </c>
      <c r="AK79" s="22">
        <v>0</v>
      </c>
      <c r="AL79" s="22">
        <v>0</v>
      </c>
      <c r="AM79" s="23">
        <v>0</v>
      </c>
      <c r="AO79" s="57">
        <f t="shared" si="2"/>
        <v>0</v>
      </c>
      <c r="AP79" s="50"/>
      <c r="AQ79" s="1"/>
    </row>
    <row r="80" spans="2:43" s="15" customFormat="1" ht="15.75" x14ac:dyDescent="0.25">
      <c r="B80" s="16" t="s">
        <v>147</v>
      </c>
      <c r="C80" s="17" t="s">
        <v>148</v>
      </c>
      <c r="D80" s="28">
        <v>0</v>
      </c>
      <c r="E80" s="22">
        <v>980.84225612293699</v>
      </c>
      <c r="F80" s="22">
        <v>37840.129948555797</v>
      </c>
      <c r="G80" s="22">
        <v>0</v>
      </c>
      <c r="H80" s="22">
        <v>4209.9787746575412</v>
      </c>
      <c r="I80" s="23">
        <v>43030.950979336274</v>
      </c>
      <c r="J80" s="28">
        <v>0</v>
      </c>
      <c r="K80" s="22">
        <v>1571.6246890905547</v>
      </c>
      <c r="L80" s="22">
        <v>37944.055297047926</v>
      </c>
      <c r="M80" s="22">
        <v>0</v>
      </c>
      <c r="N80" s="22">
        <v>4202.4430400034653</v>
      </c>
      <c r="O80" s="23">
        <v>43718.12302614194</v>
      </c>
      <c r="P80" s="42">
        <v>0</v>
      </c>
      <c r="Q80" s="43">
        <v>905.74392418197908</v>
      </c>
      <c r="R80" s="43">
        <v>39190.842873258713</v>
      </c>
      <c r="S80" s="43">
        <v>0</v>
      </c>
      <c r="T80" s="43">
        <v>4264.2217513125934</v>
      </c>
      <c r="U80" s="44">
        <v>44360.808548753288</v>
      </c>
      <c r="V80" s="28">
        <v>0</v>
      </c>
      <c r="W80" s="22">
        <v>1645.108182931195</v>
      </c>
      <c r="X80" s="22">
        <v>39612.266541710291</v>
      </c>
      <c r="Y80" s="22">
        <v>0</v>
      </c>
      <c r="Z80" s="22">
        <v>4328.8873762640123</v>
      </c>
      <c r="AA80" s="23">
        <v>45586.2621009055</v>
      </c>
      <c r="AB80" s="28">
        <v>0</v>
      </c>
      <c r="AC80" s="22">
        <v>943.57771969911596</v>
      </c>
      <c r="AD80" s="22">
        <v>42512.074243082112</v>
      </c>
      <c r="AE80" s="22">
        <v>0</v>
      </c>
      <c r="AF80" s="22">
        <v>4442.342398298545</v>
      </c>
      <c r="AG80" s="23">
        <v>47897.994361079778</v>
      </c>
      <c r="AH80" s="28">
        <v>0</v>
      </c>
      <c r="AI80" s="22">
        <v>942</v>
      </c>
      <c r="AJ80" s="22">
        <v>42144</v>
      </c>
      <c r="AK80" s="22">
        <v>0</v>
      </c>
      <c r="AL80" s="22">
        <v>4435</v>
      </c>
      <c r="AM80" s="23">
        <v>47521</v>
      </c>
      <c r="AO80" s="57">
        <f t="shared" si="2"/>
        <v>-376.99436107977817</v>
      </c>
      <c r="AP80" s="50"/>
      <c r="AQ80" s="1"/>
    </row>
    <row r="81" spans="2:79" s="15" customFormat="1" ht="15.75" x14ac:dyDescent="0.25">
      <c r="B81" s="16" t="s">
        <v>149</v>
      </c>
      <c r="C81" s="17" t="s">
        <v>150</v>
      </c>
      <c r="D81" s="28">
        <v>0</v>
      </c>
      <c r="E81" s="22">
        <v>238.2045479155704</v>
      </c>
      <c r="F81" s="22">
        <v>17921.389222589092</v>
      </c>
      <c r="G81" s="22">
        <v>0</v>
      </c>
      <c r="H81" s="22">
        <v>0</v>
      </c>
      <c r="I81" s="23">
        <v>18159.593770504664</v>
      </c>
      <c r="J81" s="28">
        <v>0</v>
      </c>
      <c r="K81" s="22">
        <v>237.7781689805289</v>
      </c>
      <c r="L81" s="22">
        <v>17889.310478005675</v>
      </c>
      <c r="M81" s="22">
        <v>0</v>
      </c>
      <c r="N81" s="22">
        <v>0</v>
      </c>
      <c r="O81" s="23">
        <v>18127.088646986205</v>
      </c>
      <c r="P81" s="42">
        <v>0</v>
      </c>
      <c r="Q81" s="43">
        <v>334.17047914976149</v>
      </c>
      <c r="R81" s="43">
        <v>18152.295255436271</v>
      </c>
      <c r="S81" s="43">
        <v>0</v>
      </c>
      <c r="T81" s="43">
        <v>0</v>
      </c>
      <c r="U81" s="44">
        <v>18486.465734586032</v>
      </c>
      <c r="V81" s="28">
        <v>0</v>
      </c>
      <c r="W81" s="22">
        <v>339.23807275412378</v>
      </c>
      <c r="X81" s="22">
        <v>18267.773747883261</v>
      </c>
      <c r="Y81" s="22">
        <v>0</v>
      </c>
      <c r="Z81" s="22">
        <v>0</v>
      </c>
      <c r="AA81" s="23">
        <v>18607.011820637385</v>
      </c>
      <c r="AB81" s="28">
        <v>0</v>
      </c>
      <c r="AC81" s="22">
        <v>348.12910171235188</v>
      </c>
      <c r="AD81" s="22">
        <v>18746.550508039276</v>
      </c>
      <c r="AE81" s="22">
        <v>0</v>
      </c>
      <c r="AF81" s="22">
        <v>0</v>
      </c>
      <c r="AG81" s="23">
        <v>19094.679609751627</v>
      </c>
      <c r="AH81" s="28">
        <v>0</v>
      </c>
      <c r="AI81" s="22">
        <v>348</v>
      </c>
      <c r="AJ81" s="22">
        <v>18717</v>
      </c>
      <c r="AK81" s="22">
        <v>0</v>
      </c>
      <c r="AL81" s="22">
        <v>0</v>
      </c>
      <c r="AM81" s="23">
        <v>19065</v>
      </c>
      <c r="AO81" s="57">
        <f t="shared" si="2"/>
        <v>-29.67960975162714</v>
      </c>
      <c r="AP81" s="50"/>
      <c r="AQ81" s="1"/>
    </row>
    <row r="82" spans="2:79" s="15" customFormat="1" ht="15.75" x14ac:dyDescent="0.25">
      <c r="B82" s="16" t="s">
        <v>151</v>
      </c>
      <c r="C82" s="17" t="s">
        <v>152</v>
      </c>
      <c r="D82" s="28">
        <v>0</v>
      </c>
      <c r="E82" s="22">
        <v>0</v>
      </c>
      <c r="F82" s="22">
        <v>1365.5362319010239</v>
      </c>
      <c r="G82" s="22">
        <v>0</v>
      </c>
      <c r="H82" s="22">
        <v>0</v>
      </c>
      <c r="I82" s="23">
        <v>1365.5362319010239</v>
      </c>
      <c r="J82" s="28">
        <v>0</v>
      </c>
      <c r="K82" s="22">
        <v>82.650165688419136</v>
      </c>
      <c r="L82" s="22">
        <v>1363.0919633536203</v>
      </c>
      <c r="M82" s="22">
        <v>0</v>
      </c>
      <c r="N82" s="22">
        <v>0</v>
      </c>
      <c r="O82" s="23">
        <v>1445.7421290420393</v>
      </c>
      <c r="P82" s="42">
        <v>0</v>
      </c>
      <c r="Q82" s="43">
        <v>83.865178164998056</v>
      </c>
      <c r="R82" s="43">
        <v>1383.1303229673526</v>
      </c>
      <c r="S82" s="43">
        <v>0</v>
      </c>
      <c r="T82" s="43">
        <v>0</v>
      </c>
      <c r="U82" s="44">
        <v>1466.9955011323507</v>
      </c>
      <c r="V82" s="28">
        <v>0</v>
      </c>
      <c r="W82" s="22">
        <v>85.136968065706739</v>
      </c>
      <c r="X82" s="22">
        <v>1404.1050733298096</v>
      </c>
      <c r="Y82" s="22">
        <v>0</v>
      </c>
      <c r="Z82" s="22">
        <v>0</v>
      </c>
      <c r="AA82" s="23">
        <v>1489.2420413955163</v>
      </c>
      <c r="AB82" s="28">
        <v>0</v>
      </c>
      <c r="AC82" s="22">
        <v>377.69991344081421</v>
      </c>
      <c r="AD82" s="22">
        <v>1440.9050078596188</v>
      </c>
      <c r="AE82" s="22">
        <v>0</v>
      </c>
      <c r="AF82" s="22">
        <v>0</v>
      </c>
      <c r="AG82" s="23">
        <v>1818.604921300433</v>
      </c>
      <c r="AH82" s="28">
        <v>0</v>
      </c>
      <c r="AI82" s="22">
        <v>0</v>
      </c>
      <c r="AJ82" s="22">
        <v>1782</v>
      </c>
      <c r="AK82" s="22">
        <v>0</v>
      </c>
      <c r="AL82" s="22">
        <v>0</v>
      </c>
      <c r="AM82" s="23">
        <v>1782</v>
      </c>
      <c r="AO82" s="57">
        <f t="shared" si="2"/>
        <v>-36.604921300433034</v>
      </c>
      <c r="AP82" s="50"/>
      <c r="AQ82" s="1"/>
    </row>
    <row r="83" spans="2:79" s="15" customFormat="1" ht="15.75" x14ac:dyDescent="0.25">
      <c r="B83" s="16" t="s">
        <v>153</v>
      </c>
      <c r="C83" s="17" t="s">
        <v>154</v>
      </c>
      <c r="D83" s="28">
        <v>92461.57922459676</v>
      </c>
      <c r="E83" s="22">
        <v>55671.077872203685</v>
      </c>
      <c r="F83" s="22">
        <v>249463.85272319461</v>
      </c>
      <c r="G83" s="22">
        <v>9031.391683002108</v>
      </c>
      <c r="H83" s="22">
        <v>292.9788557250331</v>
      </c>
      <c r="I83" s="23">
        <v>406920.88035872218</v>
      </c>
      <c r="J83" s="28">
        <v>20714.674603539017</v>
      </c>
      <c r="K83" s="22">
        <v>55571.428326871843</v>
      </c>
      <c r="L83" s="22">
        <v>320598.72116436722</v>
      </c>
      <c r="M83" s="22">
        <v>9015.2257650906413</v>
      </c>
      <c r="N83" s="22">
        <v>292.45443243594463</v>
      </c>
      <c r="O83" s="23">
        <v>406192.50429230463</v>
      </c>
      <c r="P83" s="42">
        <v>0</v>
      </c>
      <c r="Q83" s="43">
        <v>67417.28137657659</v>
      </c>
      <c r="R83" s="43">
        <v>347705.02867208194</v>
      </c>
      <c r="S83" s="43">
        <v>9147.7555875359431</v>
      </c>
      <c r="T83" s="43">
        <v>296.75370735307007</v>
      </c>
      <c r="U83" s="44">
        <v>424566.81934354757</v>
      </c>
      <c r="V83" s="28">
        <v>0</v>
      </c>
      <c r="W83" s="22">
        <v>45660.920672901579</v>
      </c>
      <c r="X83" s="22">
        <v>375756.59285627719</v>
      </c>
      <c r="Y83" s="22">
        <v>9286.4785167055506</v>
      </c>
      <c r="Z83" s="22">
        <v>301.25388700173153</v>
      </c>
      <c r="AA83" s="23">
        <v>431005.24593288603</v>
      </c>
      <c r="AB83" s="28">
        <v>0</v>
      </c>
      <c r="AC83" s="22">
        <v>46614.352306503337</v>
      </c>
      <c r="AD83" s="22">
        <v>385604.72906695452</v>
      </c>
      <c r="AE83" s="22">
        <v>9529.8661433999041</v>
      </c>
      <c r="AF83" s="22">
        <v>309.14939534301521</v>
      </c>
      <c r="AG83" s="23">
        <v>442058.0969122008</v>
      </c>
      <c r="AH83" s="28">
        <v>38586</v>
      </c>
      <c r="AI83" s="22">
        <v>38126</v>
      </c>
      <c r="AJ83" s="22">
        <v>385002</v>
      </c>
      <c r="AK83" s="22">
        <v>9515</v>
      </c>
      <c r="AL83" s="22">
        <v>201</v>
      </c>
      <c r="AM83" s="23">
        <v>471430</v>
      </c>
      <c r="AO83" s="57">
        <f t="shared" si="2"/>
        <v>29371.903087799205</v>
      </c>
      <c r="AP83" s="50"/>
      <c r="AQ83" s="1"/>
    </row>
    <row r="84" spans="2:79" s="15" customFormat="1" ht="15.75" x14ac:dyDescent="0.25">
      <c r="B84" s="16" t="s">
        <v>155</v>
      </c>
      <c r="C84" s="17" t="s">
        <v>156</v>
      </c>
      <c r="D84" s="28">
        <v>0</v>
      </c>
      <c r="E84" s="22">
        <v>13163.667369836923</v>
      </c>
      <c r="F84" s="22">
        <v>45351.85304512328</v>
      </c>
      <c r="G84" s="22">
        <v>0</v>
      </c>
      <c r="H84" s="22">
        <v>2587.1306781632275</v>
      </c>
      <c r="I84" s="23">
        <v>61102.651093123437</v>
      </c>
      <c r="J84" s="28">
        <v>0</v>
      </c>
      <c r="K84" s="22">
        <v>5981.3289138203636</v>
      </c>
      <c r="L84" s="22">
        <v>38605.25662255528</v>
      </c>
      <c r="M84" s="22">
        <v>0</v>
      </c>
      <c r="N84" s="22">
        <v>2582.4997925104503</v>
      </c>
      <c r="O84" s="23">
        <v>47169.085328886089</v>
      </c>
      <c r="P84" s="42">
        <v>2407.5757300905598</v>
      </c>
      <c r="Q84" s="43">
        <v>0</v>
      </c>
      <c r="R84" s="43">
        <v>48916.623073378025</v>
      </c>
      <c r="S84" s="43">
        <v>0</v>
      </c>
      <c r="T84" s="43">
        <v>2491.4409082555576</v>
      </c>
      <c r="U84" s="44">
        <v>53815.639711724143</v>
      </c>
      <c r="V84" s="28">
        <v>2444.085883240135</v>
      </c>
      <c r="W84" s="22">
        <v>0</v>
      </c>
      <c r="X84" s="22">
        <v>52076.318666529762</v>
      </c>
      <c r="Y84" s="22">
        <v>0</v>
      </c>
      <c r="Z84" s="22">
        <v>2529.2228513058417</v>
      </c>
      <c r="AA84" s="23">
        <v>57049.627401075741</v>
      </c>
      <c r="AB84" s="28">
        <v>2508.1424856959406</v>
      </c>
      <c r="AC84" s="22">
        <v>0</v>
      </c>
      <c r="AD84" s="22">
        <v>53145.469315075992</v>
      </c>
      <c r="AE84" s="22">
        <v>0</v>
      </c>
      <c r="AF84" s="22">
        <v>2594.1666652696495</v>
      </c>
      <c r="AG84" s="23">
        <v>58247.778466041585</v>
      </c>
      <c r="AH84" s="28">
        <v>644</v>
      </c>
      <c r="AI84" s="22">
        <v>0</v>
      </c>
      <c r="AJ84" s="22">
        <v>71331</v>
      </c>
      <c r="AK84" s="22">
        <v>0</v>
      </c>
      <c r="AL84" s="22">
        <v>2523</v>
      </c>
      <c r="AM84" s="23">
        <v>74498</v>
      </c>
      <c r="AO84" s="57">
        <f t="shared" si="2"/>
        <v>16250.221533958415</v>
      </c>
      <c r="AP84" s="50"/>
      <c r="AQ84" s="1"/>
    </row>
    <row r="85" spans="2:79" s="15" customFormat="1" ht="15.75" x14ac:dyDescent="0.25">
      <c r="B85" s="16" t="s">
        <v>157</v>
      </c>
      <c r="C85" s="17" t="s">
        <v>158</v>
      </c>
      <c r="D85" s="28">
        <v>0</v>
      </c>
      <c r="E85" s="22">
        <v>0</v>
      </c>
      <c r="F85" s="22">
        <v>11333.18643211139</v>
      </c>
      <c r="G85" s="22">
        <v>0</v>
      </c>
      <c r="H85" s="22">
        <v>127.38211118479701</v>
      </c>
      <c r="I85" s="23">
        <v>11460.568543296187</v>
      </c>
      <c r="J85" s="28">
        <v>0</v>
      </c>
      <c r="K85" s="22">
        <v>0</v>
      </c>
      <c r="L85" s="22">
        <v>11348.503519525242</v>
      </c>
      <c r="M85" s="22">
        <v>0</v>
      </c>
      <c r="N85" s="22">
        <v>127.15410105910637</v>
      </c>
      <c r="O85" s="23">
        <v>11475.657620584348</v>
      </c>
      <c r="P85" s="42">
        <v>0</v>
      </c>
      <c r="Q85" s="43">
        <v>0</v>
      </c>
      <c r="R85" s="43">
        <v>11370.827925663507</v>
      </c>
      <c r="S85" s="43">
        <v>0</v>
      </c>
      <c r="T85" s="43">
        <v>0</v>
      </c>
      <c r="U85" s="44">
        <v>11370.827925663507</v>
      </c>
      <c r="V85" s="28">
        <v>0</v>
      </c>
      <c r="W85" s="22">
        <v>0</v>
      </c>
      <c r="X85" s="22">
        <v>11543.26307020113</v>
      </c>
      <c r="Y85" s="22">
        <v>0</v>
      </c>
      <c r="Z85" s="22">
        <v>0</v>
      </c>
      <c r="AA85" s="23">
        <v>11543.26307020113</v>
      </c>
      <c r="AB85" s="28">
        <v>0</v>
      </c>
      <c r="AC85" s="22">
        <v>0</v>
      </c>
      <c r="AD85" s="22">
        <v>12292.048784399452</v>
      </c>
      <c r="AE85" s="22">
        <v>0</v>
      </c>
      <c r="AF85" s="22">
        <v>0</v>
      </c>
      <c r="AG85" s="23">
        <v>12292.048784399452</v>
      </c>
      <c r="AH85" s="28">
        <v>0</v>
      </c>
      <c r="AI85" s="22">
        <v>0</v>
      </c>
      <c r="AJ85" s="22">
        <v>12273</v>
      </c>
      <c r="AK85" s="22">
        <v>0</v>
      </c>
      <c r="AL85" s="22">
        <v>0</v>
      </c>
      <c r="AM85" s="23">
        <v>12273</v>
      </c>
      <c r="AO85" s="57">
        <f t="shared" si="2"/>
        <v>-19.048784399452416</v>
      </c>
      <c r="AP85" s="50"/>
      <c r="AQ85" s="1"/>
    </row>
    <row r="86" spans="2:79" s="15" customFormat="1" ht="15.75" x14ac:dyDescent="0.25">
      <c r="B86" s="16" t="s">
        <v>159</v>
      </c>
      <c r="C86" s="17" t="s">
        <v>160</v>
      </c>
      <c r="D86" s="28">
        <v>0</v>
      </c>
      <c r="E86" s="22">
        <v>0</v>
      </c>
      <c r="F86" s="22">
        <v>14212.022144887802</v>
      </c>
      <c r="G86" s="22">
        <v>0</v>
      </c>
      <c r="H86" s="22">
        <v>0</v>
      </c>
      <c r="I86" s="23">
        <v>14212.022144887802</v>
      </c>
      <c r="J86" s="28">
        <v>0</v>
      </c>
      <c r="K86" s="22">
        <v>0</v>
      </c>
      <c r="L86" s="22">
        <v>14186.583055164498</v>
      </c>
      <c r="M86" s="22">
        <v>0</v>
      </c>
      <c r="N86" s="22">
        <v>0</v>
      </c>
      <c r="O86" s="23">
        <v>14186.583055164498</v>
      </c>
      <c r="P86" s="42">
        <v>0</v>
      </c>
      <c r="Q86" s="43">
        <v>0</v>
      </c>
      <c r="R86" s="43">
        <v>14392.554806623899</v>
      </c>
      <c r="S86" s="43">
        <v>0</v>
      </c>
      <c r="T86" s="43">
        <v>0</v>
      </c>
      <c r="U86" s="44">
        <v>14392.554806623899</v>
      </c>
      <c r="V86" s="28">
        <v>0</v>
      </c>
      <c r="W86" s="22">
        <v>0</v>
      </c>
      <c r="X86" s="22">
        <v>14610.81351958398</v>
      </c>
      <c r="Y86" s="22">
        <v>0</v>
      </c>
      <c r="Z86" s="22">
        <v>0</v>
      </c>
      <c r="AA86" s="23">
        <v>14610.81351958398</v>
      </c>
      <c r="AB86" s="28">
        <v>0</v>
      </c>
      <c r="AC86" s="22">
        <v>0</v>
      </c>
      <c r="AD86" s="22">
        <v>14993.745674136238</v>
      </c>
      <c r="AE86" s="22">
        <v>0</v>
      </c>
      <c r="AF86" s="22">
        <v>0</v>
      </c>
      <c r="AG86" s="23">
        <v>14993.745674136238</v>
      </c>
      <c r="AH86" s="28">
        <v>0</v>
      </c>
      <c r="AI86" s="22">
        <v>0</v>
      </c>
      <c r="AJ86" s="22">
        <v>14970</v>
      </c>
      <c r="AK86" s="22">
        <v>0</v>
      </c>
      <c r="AL86" s="22">
        <v>0</v>
      </c>
      <c r="AM86" s="23">
        <v>14970</v>
      </c>
      <c r="AO86" s="57">
        <f t="shared" si="2"/>
        <v>-23.745674136238449</v>
      </c>
      <c r="AP86" s="50"/>
      <c r="AQ86" s="1"/>
    </row>
    <row r="87" spans="2:79" s="15" customFormat="1" ht="15.75" x14ac:dyDescent="0.25">
      <c r="B87" s="16" t="s">
        <v>161</v>
      </c>
      <c r="C87" s="17" t="s">
        <v>162</v>
      </c>
      <c r="D87" s="28">
        <v>0</v>
      </c>
      <c r="E87" s="22">
        <v>0</v>
      </c>
      <c r="F87" s="22">
        <v>3723.3791099316168</v>
      </c>
      <c r="G87" s="22">
        <v>0</v>
      </c>
      <c r="H87" s="22">
        <v>0</v>
      </c>
      <c r="I87" s="23">
        <v>3723.3791099316168</v>
      </c>
      <c r="J87" s="28">
        <v>0</v>
      </c>
      <c r="K87" s="22">
        <v>0</v>
      </c>
      <c r="L87" s="22">
        <v>3716.7143739576791</v>
      </c>
      <c r="M87" s="22">
        <v>0</v>
      </c>
      <c r="N87" s="22">
        <v>0</v>
      </c>
      <c r="O87" s="23">
        <v>3716.7143739576791</v>
      </c>
      <c r="P87" s="42">
        <v>0</v>
      </c>
      <c r="Q87" s="43">
        <v>0</v>
      </c>
      <c r="R87" s="43">
        <v>3216.5521410052334</v>
      </c>
      <c r="S87" s="43">
        <v>0</v>
      </c>
      <c r="T87" s="43">
        <v>0</v>
      </c>
      <c r="U87" s="44">
        <v>3216.5521410052334</v>
      </c>
      <c r="V87" s="28">
        <v>0</v>
      </c>
      <c r="W87" s="22">
        <v>0</v>
      </c>
      <c r="X87" s="22">
        <v>3265.3301751970293</v>
      </c>
      <c r="Y87" s="22">
        <v>0</v>
      </c>
      <c r="Z87" s="22">
        <v>0</v>
      </c>
      <c r="AA87" s="23">
        <v>3265.3301751970293</v>
      </c>
      <c r="AB87" s="28">
        <v>0</v>
      </c>
      <c r="AC87" s="22">
        <v>0</v>
      </c>
      <c r="AD87" s="22">
        <v>3350.910619957117</v>
      </c>
      <c r="AE87" s="22">
        <v>0</v>
      </c>
      <c r="AF87" s="22">
        <v>0</v>
      </c>
      <c r="AG87" s="23">
        <v>3350.910619957117</v>
      </c>
      <c r="AH87" s="28">
        <v>0</v>
      </c>
      <c r="AI87" s="22">
        <v>0</v>
      </c>
      <c r="AJ87" s="22">
        <v>3346</v>
      </c>
      <c r="AK87" s="22">
        <v>0</v>
      </c>
      <c r="AL87" s="22">
        <v>0</v>
      </c>
      <c r="AM87" s="23">
        <v>3346</v>
      </c>
      <c r="AO87" s="57">
        <f t="shared" si="2"/>
        <v>-4.9106199571169782</v>
      </c>
      <c r="AP87" s="50"/>
      <c r="AQ87" s="1"/>
    </row>
    <row r="88" spans="2:79" s="15" customFormat="1" ht="16.5" thickBot="1" x14ac:dyDescent="0.3">
      <c r="B88" s="18" t="s">
        <v>163</v>
      </c>
      <c r="C88" s="19" t="s">
        <v>164</v>
      </c>
      <c r="D88" s="30">
        <v>0</v>
      </c>
      <c r="E88" s="24">
        <v>0</v>
      </c>
      <c r="F88" s="24">
        <v>0</v>
      </c>
      <c r="G88" s="24">
        <v>0</v>
      </c>
      <c r="H88" s="24">
        <v>0</v>
      </c>
      <c r="I88" s="31">
        <v>0</v>
      </c>
      <c r="J88" s="30">
        <v>0</v>
      </c>
      <c r="K88" s="24">
        <v>0</v>
      </c>
      <c r="L88" s="24">
        <v>0</v>
      </c>
      <c r="M88" s="24">
        <v>0</v>
      </c>
      <c r="N88" s="24">
        <v>0</v>
      </c>
      <c r="O88" s="31">
        <v>0</v>
      </c>
      <c r="P88" s="47">
        <v>0</v>
      </c>
      <c r="Q88" s="48">
        <v>0</v>
      </c>
      <c r="R88" s="48">
        <v>0</v>
      </c>
      <c r="S88" s="48">
        <v>0</v>
      </c>
      <c r="T88" s="48">
        <v>0</v>
      </c>
      <c r="U88" s="49">
        <v>0</v>
      </c>
      <c r="V88" s="30">
        <v>0</v>
      </c>
      <c r="W88" s="24">
        <v>0</v>
      </c>
      <c r="X88" s="24">
        <v>0</v>
      </c>
      <c r="Y88" s="24">
        <v>0</v>
      </c>
      <c r="Z88" s="24">
        <v>0</v>
      </c>
      <c r="AA88" s="31">
        <v>0</v>
      </c>
      <c r="AB88" s="30">
        <v>0</v>
      </c>
      <c r="AC88" s="24">
        <v>0</v>
      </c>
      <c r="AD88" s="24">
        <v>0</v>
      </c>
      <c r="AE88" s="24">
        <v>0</v>
      </c>
      <c r="AF88" s="24">
        <v>0</v>
      </c>
      <c r="AG88" s="31">
        <v>0</v>
      </c>
      <c r="AH88" s="30">
        <v>0</v>
      </c>
      <c r="AI88" s="24">
        <v>0</v>
      </c>
      <c r="AJ88" s="24">
        <v>0</v>
      </c>
      <c r="AK88" s="24">
        <v>0</v>
      </c>
      <c r="AL88" s="24">
        <v>0</v>
      </c>
      <c r="AM88" s="31">
        <v>0</v>
      </c>
      <c r="AO88" s="57">
        <f t="shared" si="2"/>
        <v>0</v>
      </c>
      <c r="AP88" s="50"/>
      <c r="AQ88" s="1"/>
    </row>
    <row r="89" spans="2:79" s="2" customFormat="1" ht="23.1" customHeight="1" x14ac:dyDescent="0.25">
      <c r="B89" s="6" t="s">
        <v>82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6"/>
      <c r="AI89" s="7"/>
      <c r="AJ89" s="7"/>
      <c r="AK89" s="7"/>
      <c r="AL89" s="7"/>
      <c r="AM89" s="7"/>
      <c r="AN89" s="7"/>
      <c r="AO89" s="58"/>
      <c r="AP89" s="7"/>
      <c r="AQ89" s="7"/>
      <c r="AR89" s="7"/>
      <c r="AS89" s="7"/>
      <c r="AT89" s="6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6"/>
      <c r="BS89" s="7"/>
      <c r="BT89" s="7"/>
      <c r="BU89" s="7"/>
      <c r="BV89" s="7"/>
      <c r="BW89" s="7"/>
      <c r="BY89" s="50"/>
      <c r="BZ89" s="50"/>
      <c r="CA89" s="1"/>
    </row>
    <row r="90" spans="2:79" s="2" customFormat="1" ht="23.1" customHeight="1" x14ac:dyDescent="0.25">
      <c r="B90" s="59" t="s">
        <v>166</v>
      </c>
      <c r="C90" s="59"/>
      <c r="D90" s="20"/>
      <c r="E90" s="20"/>
      <c r="F90" s="20"/>
      <c r="G90" s="20"/>
      <c r="H90" s="20"/>
      <c r="I90" s="2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59"/>
      <c r="AI90" s="59"/>
      <c r="AJ90" s="7"/>
      <c r="AK90" s="7"/>
      <c r="AL90" s="7"/>
      <c r="AM90" s="7"/>
      <c r="AN90" s="7"/>
      <c r="AO90" s="58"/>
      <c r="AP90" s="7"/>
      <c r="AQ90" s="7"/>
      <c r="AR90" s="7"/>
      <c r="AS90" s="7"/>
      <c r="AT90" s="59"/>
      <c r="AU90" s="59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59"/>
      <c r="BS90" s="59"/>
      <c r="BT90" s="7"/>
      <c r="BU90" s="7"/>
      <c r="BV90" s="7"/>
      <c r="BW90" s="7"/>
      <c r="BY90" s="50"/>
      <c r="BZ90" s="50"/>
      <c r="CA90" s="1"/>
    </row>
    <row r="91" spans="2:79" ht="23.1" customHeight="1" x14ac:dyDescent="0.25">
      <c r="B91" s="72" t="s">
        <v>177</v>
      </c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</row>
  </sheetData>
  <mergeCells count="43">
    <mergeCell ref="AB4:AG4"/>
    <mergeCell ref="AB5:AC5"/>
    <mergeCell ref="AD5:AD6"/>
    <mergeCell ref="AE5:AE6"/>
    <mergeCell ref="AF5:AF6"/>
    <mergeCell ref="AG5:AG6"/>
    <mergeCell ref="V4:AA4"/>
    <mergeCell ref="B91:AM91"/>
    <mergeCell ref="P4:U4"/>
    <mergeCell ref="P5:Q5"/>
    <mergeCell ref="R5:R6"/>
    <mergeCell ref="S5:S6"/>
    <mergeCell ref="T5:T6"/>
    <mergeCell ref="U5:U6"/>
    <mergeCell ref="B4:B6"/>
    <mergeCell ref="C4:C6"/>
    <mergeCell ref="B90:C90"/>
    <mergeCell ref="V5:W5"/>
    <mergeCell ref="X5:X6"/>
    <mergeCell ref="Y5:Y6"/>
    <mergeCell ref="Z5:Z6"/>
    <mergeCell ref="AA5:AA6"/>
    <mergeCell ref="J4:O4"/>
    <mergeCell ref="J5:K5"/>
    <mergeCell ref="L5:L6"/>
    <mergeCell ref="M5:M6"/>
    <mergeCell ref="N5:N6"/>
    <mergeCell ref="O5:O6"/>
    <mergeCell ref="D4:I4"/>
    <mergeCell ref="D5:E5"/>
    <mergeCell ref="F5:F6"/>
    <mergeCell ref="G5:G6"/>
    <mergeCell ref="H5:H6"/>
    <mergeCell ref="I5:I6"/>
    <mergeCell ref="BR90:BS90"/>
    <mergeCell ref="AM5:AM6"/>
    <mergeCell ref="AK5:AK6"/>
    <mergeCell ref="AH4:AM4"/>
    <mergeCell ref="AH5:AI5"/>
    <mergeCell ref="AJ5:AJ6"/>
    <mergeCell ref="AT90:AU90"/>
    <mergeCell ref="AH90:AI90"/>
    <mergeCell ref="AL5:AL6"/>
  </mergeCells>
  <printOptions horizontalCentered="1"/>
  <pageMargins left="0.11811023622047245" right="0.11811023622047245" top="0" bottom="0" header="0.31496062992125984" footer="0.31496062992125984"/>
  <pageSetup paperSize="8" scale="57" orientation="landscape" r:id="rId1"/>
  <rowBreaks count="2" manualBreakCount="2">
    <brk id="90" max="16" man="1"/>
    <brk id="1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2.5.Tablo</vt:lpstr>
      <vt:lpstr>'2.5.Tablo'!Yazdırma_Alanı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